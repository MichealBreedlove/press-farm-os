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ekly Plan Matrix" sheetId="2" state="visible" r:id="rId4"/>
    <sheet name="August" sheetId="3" state="visible" r:id="rId5"/>
    <sheet name="September" sheetId="4" state="visible" r:id="rId6"/>
    <sheet name="October" sheetId="5" state="visible" r:id="rId7"/>
    <sheet name="November" sheetId="6" state="visible" r:id="rId8"/>
    <sheet name="Decemb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<sst xmlns="http://schemas.openxmlformats.org/spreadsheetml/2006/main" count="921" uniqueCount="118">
  <si>
    <t xml:space="preserve">Press Farm — Weekly Farm Supply List, Aug–Dec 2026</t>
  </si>
  <si>
    <t xml:space="preserve">WHAT THIS IS</t>
  </si>
  <si>
    <t xml:space="preserve">What to bring from the farm each week for the rest of 2026, by month. One tab per month plus a</t>
  </si>
  <si>
    <t xml:space="preserve">Weekly Plan Matrix showing every item's weekly quantity across all five months.</t>
  </si>
  <si>
    <t xml:space="preserve">SOURCE &amp; METHOD</t>
  </si>
  <si>
    <t xml:space="preserve">Source: Press Farm OS database — deliveries + delivery_items (the financial source of truth), Aug 9 2025 – Aug 8 2026.</t>
  </si>
  <si>
    <t xml:space="preserve">Each 2026 month is projected from the same month of 2025 (seasonality-matched). Weekly qty = month total / delivery weeks in that month.</t>
  </si>
  <si>
    <t xml:space="preserve">BRING WEEKLY = weekly average rounded UP to a whole unit. Items delivered only 1 week last year are listed as one-offs with their month total.</t>
  </si>
  <si>
    <t xml:space="preserve">EXCLUSIONS (per Micheal)</t>
  </si>
  <si>
    <t xml:space="preserve">Deliveries under $5: 1 delivery excluded. Line items under $5: 13 lines excluded ($25.25 of $131,234.95 total — negligible).</t>
  </si>
  <si>
    <t xml:space="preserve">CAVEATS</t>
  </si>
  <si>
    <t xml:space="preserve">2026 volumes are running ~20–35% above 2025 (52–59 item lines/month this summer vs 42–49 last summer). Treat these as floors, not ceilings.</t>
  </si>
  <si>
    <t xml:space="preserve">August 2025 window starts Aug 9 (4 delivery weeks). 'Samples' rows are kept as-is from the delivery log.</t>
  </si>
  <si>
    <t xml:space="preserve">Delivery schedule: Thu / Sat / Mon. Weekly qty = combined total across all deliveries in the week, both restaurants.</t>
  </si>
  <si>
    <t xml:space="preserve">Weekly Plan Matrix — bring per week, Aug–Dec 2026</t>
  </si>
  <si>
    <t xml:space="preserve">Numbers = units to bring each week that month (from the month tabs). 'one-off: N total' = delivered once last year — plan as a single pull. Blank = not delivered that month last year.</t>
  </si>
  <si>
    <t xml:space="preserve">Item</t>
  </si>
  <si>
    <t xml:space="preserve">Category</t>
  </si>
  <si>
    <t xml:space="preserve">Unit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</si>
  <si>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</si>
  <si>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</si>
  <si>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</si>
  <si>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</si>
  <si>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</si>
  <si>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Yr Revenue ($)</t>
  </si>
  <si>
    <t xml:space="preserve">Nasturtium</t>
  </si>
  <si>
    <t xml:space="preserve">Herbs &amp; Leaves</t>
  </si>
  <si>
    <t xml:space="preserve">each</t>
  </si>
  <si>
    <t xml:space="preserve">Peppers</t>
  </si>
  <si>
    <t xml:space="preserve">Fruit &amp; Veg</t>
  </si>
  <si>
    <t xml:space="preserve">lbs</t>
  </si>
  <si>
    <t xml:space="preserve">Basil</t>
  </si>
  <si>
    <t xml:space="preserve">LG</t>
  </si>
  <si>
    <t xml:space="preserve">Cauliflower</t>
  </si>
  <si>
    <t xml:space="preserve">Tomatoes</t>
  </si>
  <si>
    <t xml:space="preserve">Anise Hyssop</t>
  </si>
  <si>
    <t xml:space="preserve">Micros &amp; Leaves</t>
  </si>
  <si>
    <t xml:space="preserve">Carrots</t>
  </si>
  <si>
    <t xml:space="preserve">Turnip - Leaves</t>
  </si>
  <si>
    <t xml:space="preserve">Squash</t>
  </si>
  <si>
    <t xml:space="preserve">box</t>
  </si>
  <si>
    <t xml:space="preserve">Radish</t>
  </si>
  <si>
    <t xml:space="preserve">Flowers</t>
  </si>
  <si>
    <t xml:space="preserve">Persimmon</t>
  </si>
  <si>
    <t xml:space="preserve">Marigold</t>
  </si>
  <si>
    <t xml:space="preserve">SM</t>
  </si>
  <si>
    <t xml:space="preserve">Figs</t>
  </si>
  <si>
    <t xml:space="preserve">Mustard Flowers</t>
  </si>
  <si>
    <t xml:space="preserve">Cucumber Leaf (1 in)</t>
  </si>
  <si>
    <t xml:space="preserve">Forget-Me-Nots</t>
  </si>
  <si>
    <t xml:space="preserve">Passionfruit</t>
  </si>
  <si>
    <t xml:space="preserve">Kale</t>
  </si>
  <si>
    <t xml:space="preserve">Egyptian Starflower</t>
  </si>
  <si>
    <t xml:space="preserve">Beans</t>
  </si>
  <si>
    <t xml:space="preserve">Aptenia</t>
  </si>
  <si>
    <t xml:space="preserve">Zinnias</t>
  </si>
  <si>
    <t xml:space="preserve">Alyssum</t>
  </si>
  <si>
    <t xml:space="preserve">Shiso</t>
  </si>
  <si>
    <t xml:space="preserve">Mint</t>
  </si>
  <si>
    <t xml:space="preserve">New Zealand Spinach</t>
  </si>
  <si>
    <t xml:space="preserve">Evergreen Branches</t>
  </si>
  <si>
    <t xml:space="preserve">Society Garlic</t>
  </si>
  <si>
    <t xml:space="preserve">Eggplant</t>
  </si>
  <si>
    <t xml:space="preserve">Fennel</t>
  </si>
  <si>
    <t xml:space="preserve">Amaranth</t>
  </si>
  <si>
    <t xml:space="preserve">Cabbage</t>
  </si>
  <si>
    <t xml:space="preserve">Cosmos</t>
  </si>
  <si>
    <t xml:space="preserve">Squash Tendril</t>
  </si>
  <si>
    <t xml:space="preserve">Quince</t>
  </si>
  <si>
    <t xml:space="preserve">Field Pea Tendrils</t>
  </si>
  <si>
    <t xml:space="preserve">Yarrow</t>
  </si>
  <si>
    <t xml:space="preserve">Cress</t>
  </si>
  <si>
    <t xml:space="preserve">Rosemary</t>
  </si>
  <si>
    <t xml:space="preserve">Grapes</t>
  </si>
  <si>
    <t xml:space="preserve">Broccoli</t>
  </si>
  <si>
    <t xml:space="preserve">Rose Geranium</t>
  </si>
  <si>
    <t xml:space="preserve">Peaches</t>
  </si>
  <si>
    <t xml:space="preserve">Black Eyed Susans</t>
  </si>
  <si>
    <t xml:space="preserve">Samples</t>
  </si>
  <si>
    <t xml:space="preserve">Bay Leaf</t>
  </si>
  <si>
    <t xml:space="preserve">Chrysanthemum</t>
  </si>
  <si>
    <t xml:space="preserve">Lavender</t>
  </si>
  <si>
    <t xml:space="preserve">Buckwheat</t>
  </si>
  <si>
    <t xml:space="preserve">Oxalis Flowers</t>
  </si>
  <si>
    <t xml:space="preserve">Dianthus</t>
  </si>
  <si>
    <t xml:space="preserve">Olive</t>
  </si>
  <si>
    <t xml:space="preserve">Sorrel</t>
  </si>
  <si>
    <t xml:space="preserve">Blackberries</t>
  </si>
  <si>
    <t xml:space="preserve">Wormwood</t>
  </si>
  <si>
    <t xml:space="preserve">Mustard Leaves</t>
  </si>
  <si>
    <t xml:space="preserve">Pears</t>
  </si>
  <si>
    <t xml:space="preserve">Thyme</t>
  </si>
  <si>
    <t xml:space="preserve">Chickweed</t>
  </si>
  <si>
    <t xml:space="preserve">Brassica</t>
  </si>
  <si>
    <t xml:space="preserve">Tarragon</t>
  </si>
  <si>
    <t xml:space="preserve">Sage</t>
  </si>
  <si>
    <t xml:space="preserve">Apple</t>
  </si>
  <si>
    <t xml:space="preserve">August 2026 — Weekly Farm Supply List</t>
  </si>
  <si>
    <t xml:space="preserve">Projected from Aug 2025 deliveries.  Delivery weeks in source month:</t>
  </si>
  <si>
    <t xml:space="preserve">Month Total (2025)</t>
  </si>
  <si>
    <t xml:space="preserve">Weeks Delivered</t>
  </si>
  <si>
    <t xml:space="preserve">Weekly Avg</t>
  </si>
  <si>
    <t xml:space="preserve">BRING WEEKLY</t>
  </si>
  <si>
    <t xml:space="preserve">Month Revenue ($)</t>
  </si>
  <si>
    <t xml:space="preserve">Weekly Value ($)</t>
  </si>
  <si>
    <t xml:space="preserve">Key</t>
  </si>
  <si>
    <t xml:space="preserve">WEEKLY STAPLES — bring every week</t>
  </si>
  <si>
    <t xml:space="preserve">MOST WEEKS — bring most weeks</t>
  </si>
  <si>
    <t xml:space="preserve">OCCASIONAL / ONE-OFF — as available (one week last year)</t>
  </si>
  <si>
    <t xml:space="preserve">MONTH TOTAL</t>
  </si>
  <si>
    <t xml:space="preserve">September 2026 — Weekly Farm Supply List</t>
  </si>
  <si>
    <t xml:space="preserve">Projected from Sep 2025 deliveries.  Delivery weeks in source month:</t>
  </si>
  <si>
    <t xml:space="preserve">October 2026 — Weekly Farm Supply List</t>
  </si>
  <si>
    <t xml:space="preserve">Projected from Oct 2025 deliveries.  Delivery weeks in source month:</t>
  </si>
  <si>
    <t xml:space="preserve">November 2026 — Weekly Farm Supply List</t>
  </si>
  <si>
    <t xml:space="preserve">Projected from Nov 2025 deliveries.  Delivery weeks in source month:</t>
  </si>
  <si>
    <t xml:space="preserve">December 2026 — Weekly Farm Supply List</t>
  </si>
  <si>
    <t xml:space="preserve">Projected from Dec 2025 deliveries.  Delivery weeks in source month: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</si>
</sst>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$#,##0"/>
    <numFmt numFmtId="167" formatCode="#,##0.#"/>
    <numFmt numFmtId="168" formatCode="0"/>
    <numFmt numFmtId="169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23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8EFE8"/>
        <bgColor rgb="FFFFF3CC"/>
      </patternFill>
    </fill>
    <fill>
      <patternFill patternType="solid">
        <fgColor rgb="FFFFF3CC"/>
        <bgColor rgb="FFE8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C"/>
      <rgbColor rgb="FFE8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8" min="4" style="0" width="13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</row>
    <row r="4" customFormat="false" ht="1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</row>
    <row r="5" customFormat="false" ht="15" hidden="false" customHeight="false" outlineLevel="0" collapsed="false">
      <c r="A5" s="7" t="s">
        <v>25</v>
      </c>
      <c r="B5" s="7" t="s">
        <v>26</v>
      </c>
      <c r="C5" s="7" t="s">
        <v>27</v>
      </c>
      <c r="D5" s="8" t="n">
        <f aca="false">IFERROR(INDEX(August!$G$5:$G$49,MATCH($A5&amp;"|"&amp;$C5,August!$J$5:$J$49,0)),"")</f>
        <v>918</v>
      </c>
      <c r="E5" s="8" t="n">
        <f aca="false">IFERROR(INDEX(September!$G$5:$G$56,MATCH($A5&amp;"|"&amp;$C5,September!$J$5:$J$56,0)),"")</f>
        <v>924</v>
      </c>
      <c r="F5" s="8" t="n">
        <f aca="false">IFERROR(INDEX(October!$G$5:$G$48,MATCH($A5&amp;"|"&amp;$C5,October!$J$5:$J$48,0)),"")</f>
        <v>592</v>
      </c>
      <c r="G5" s="8" t="n">
        <f aca="false">IFERROR(INDEX(November!$G$5:$G$44,MATCH($A5&amp;"|"&amp;$C5,November!$J$5:$J$44,0)),"")</f>
        <v>395</v>
      </c>
      <c r="H5" s="8" t="n">
        <f aca="false">IFERROR(INDEX(December!$G$5:$G$33,MATCH($A5&amp;"|"&amp;$C5,December!$J$5:$J$33,0)),"")</f>
        <v>752</v>
      </c>
      <c r="I5" s="9" t="n">
        <v>5945</v>
      </c>
    </row>
    <row r="6" customFormat="false" ht="15" hidden="false" customHeight="false" outlineLevel="0" collapsed="false">
      <c r="A6" s="7" t="s">
        <v>28</v>
      </c>
      <c r="B6" s="7" t="s">
        <v>29</v>
      </c>
      <c r="C6" s="7" t="s">
        <v>30</v>
      </c>
      <c r="D6" s="8" t="n">
        <f aca="false">IFERROR(INDEX(August!$G$5:$G$49,MATCH($A6&amp;"|"&amp;$C6,August!$J$5:$J$49,0)),"")</f>
        <v>15</v>
      </c>
      <c r="E6" s="8" t="n">
        <f aca="false">IFERROR(INDEX(September!$G$5:$G$56,MATCH($A6&amp;"|"&amp;$C6,September!$J$5:$J$56,0)),"")</f>
        <v>70</v>
      </c>
      <c r="F6" s="8" t="str">
        <f aca="false">IFERROR(INDEX(October!$G$5:$G$48,MATCH($A6&amp;"|"&amp;$C6,October!$J$5:$J$48,0)),"")</f>
        <v/>
      </c>
      <c r="G6" s="8" t="str">
        <f aca="false">IFERROR(INDEX(November!$G$5:$G$44,MATCH($A6&amp;"|"&amp;$C6,November!$J$5:$J$44,0)),"")</f>
        <v/>
      </c>
      <c r="H6" s="8" t="str">
        <f aca="false">IFERROR(INDEX(December!$G$5:$G$33,MATCH($A6&amp;"|"&amp;$C6,December!$J$5:$J$33,0)),"")</f>
        <v/>
      </c>
      <c r="I6" s="9" t="n">
        <v>4100</v>
      </c>
    </row>
    <row r="7" customFormat="false" ht="15" hidden="false" customHeight="false" outlineLevel="0" collapsed="false">
      <c r="A7" s="7" t="s">
        <v>31</v>
      </c>
      <c r="B7" s="7" t="s">
        <v>26</v>
      </c>
      <c r="C7" s="7" t="s">
        <v>32</v>
      </c>
      <c r="D7" s="8" t="n">
        <f aca="false">IFERROR(INDEX(August!$G$5:$G$49,MATCH($A7&amp;"|"&amp;$C7,August!$J$5:$J$49,0)),"")</f>
        <v>17</v>
      </c>
      <c r="E7" s="8" t="n">
        <f aca="false">IFERROR(INDEX(September!$G$5:$G$56,MATCH($A7&amp;"|"&amp;$C7,September!$J$5:$J$56,0)),"")</f>
        <v>22</v>
      </c>
      <c r="F7" s="8" t="n">
        <f aca="false">IFERROR(INDEX(October!$G$5:$G$48,MATCH($A7&amp;"|"&amp;$C7,October!$J$5:$J$48,0)),"")</f>
        <v>1</v>
      </c>
      <c r="G7" s="8" t="str">
        <f aca="false">IFERROR(INDEX(November!$G$5:$G$44,MATCH($A7&amp;"|"&amp;$C7,November!$J$5:$J$44,0)),"")</f>
        <v/>
      </c>
      <c r="H7" s="8" t="str">
        <f aca="false">IFERROR(INDEX(December!$G$5:$G$33,MATCH($A7&amp;"|"&amp;$C7,December!$J$5:$J$33,0)),"")</f>
        <v/>
      </c>
      <c r="I7" s="9" t="n">
        <v>3612</v>
      </c>
    </row>
    <row r="8" customFormat="false" ht="15" hidden="false" customHeight="false" outlineLevel="0" collapsed="false">
      <c r="A8" s="7" t="s">
        <v>33</v>
      </c>
      <c r="B8" s="7" t="s">
        <v>29</v>
      </c>
      <c r="C8" s="7" t="s">
        <v>32</v>
      </c>
      <c r="D8" s="8" t="str">
        <f aca="false">IFERROR(INDEX(August!$G$5:$G$49,MATCH($A8&amp;"|"&amp;$C8,August!$J$5:$J$49,0)),"")</f>
        <v/>
      </c>
      <c r="E8" s="8" t="str">
        <f aca="false">IFERROR(INDEX(September!$G$5:$G$56,MATCH($A8&amp;"|"&amp;$C8,September!$J$5:$J$56,0)),"")</f>
        <v/>
      </c>
      <c r="F8" s="8" t="str">
        <f aca="false">IFERROR(INDEX(October!$G$5:$G$48,MATCH($A8&amp;"|"&amp;$C8,October!$J$5:$J$48,0)),"")</f>
        <v>one-off: 2 total</v>
      </c>
      <c r="G8" s="8" t="n">
        <f aca="false">IFERROR(INDEX(November!$G$5:$G$44,MATCH($A8&amp;"|"&amp;$C8,November!$J$5:$J$44,0)),"")</f>
        <v>27</v>
      </c>
      <c r="H8" s="8" t="n">
        <f aca="false">IFERROR(INDEX(December!$G$5:$G$33,MATCH($A8&amp;"|"&amp;$C8,December!$J$5:$J$33,0)),"")</f>
        <v>6</v>
      </c>
      <c r="I8" s="9" t="n">
        <v>3280</v>
      </c>
    </row>
    <row r="9" customFormat="false" ht="15" hidden="false" customHeight="false" outlineLevel="0" collapsed="false">
      <c r="A9" s="7" t="s">
        <v>34</v>
      </c>
      <c r="B9" s="7" t="s">
        <v>29</v>
      </c>
      <c r="C9" s="7" t="s">
        <v>30</v>
      </c>
      <c r="D9" s="8" t="n">
        <f aca="false">IFERROR(INDEX(August!$G$5:$G$49,MATCH($A9&amp;"|"&amp;$C9,August!$J$5:$J$49,0)),"")</f>
        <v>73</v>
      </c>
      <c r="E9" s="8" t="n">
        <f aca="false">IFERROR(INDEX(September!$G$5:$G$56,MATCH($A9&amp;"|"&amp;$C9,September!$J$5:$J$56,0)),"")</f>
        <v>75</v>
      </c>
      <c r="F9" s="8" t="str">
        <f aca="false">IFERROR(INDEX(October!$G$5:$G$48,MATCH($A9&amp;"|"&amp;$C9,October!$J$5:$J$48,0)),"")</f>
        <v/>
      </c>
      <c r="G9" s="8" t="str">
        <f aca="false">IFERROR(INDEX(November!$G$5:$G$44,MATCH($A9&amp;"|"&amp;$C9,November!$J$5:$J$44,0)),"")</f>
        <v/>
      </c>
      <c r="H9" s="8" t="str">
        <f aca="false">IFERROR(INDEX(December!$G$5:$G$33,MATCH($A9&amp;"|"&amp;$C9,December!$J$5:$J$33,0)),"")</f>
        <v/>
      </c>
      <c r="I9" s="9" t="n">
        <v>3120</v>
      </c>
    </row>
    <row r="10" customFormat="false" ht="15" hidden="false" customHeight="false" outlineLevel="0" collapsed="false">
      <c r="A10" s="7" t="s">
        <v>35</v>
      </c>
      <c r="B10" s="7" t="s">
        <v>36</v>
      </c>
      <c r="C10" s="7" t="s">
        <v>32</v>
      </c>
      <c r="D10" s="8" t="n">
        <f aca="false">IFERROR(INDEX(August!$G$5:$G$49,MATCH($A10&amp;"|"&amp;$C10,August!$J$5:$J$49,0)),"")</f>
        <v>9</v>
      </c>
      <c r="E10" s="8" t="n">
        <f aca="false">IFERROR(INDEX(September!$G$5:$G$56,MATCH($A10&amp;"|"&amp;$C10,September!$J$5:$J$56,0)),"")</f>
        <v>17</v>
      </c>
      <c r="F10" s="8" t="n">
        <f aca="false">IFERROR(INDEX(October!$G$5:$G$48,MATCH($A10&amp;"|"&amp;$C10,October!$J$5:$J$48,0)),"")</f>
        <v>12</v>
      </c>
      <c r="G10" s="8" t="str">
        <f aca="false">IFERROR(INDEX(November!$G$5:$G$44,MATCH($A10&amp;"|"&amp;$C10,November!$J$5:$J$44,0)),"")</f>
        <v>one-off: 8 total</v>
      </c>
      <c r="H10" s="8" t="str">
        <f aca="false">IFERROR(INDEX(December!$G$5:$G$33,MATCH($A10&amp;"|"&amp;$C10,December!$J$5:$J$33,0)),"")</f>
        <v/>
      </c>
      <c r="I10" s="9" t="n">
        <v>2753</v>
      </c>
    </row>
    <row r="11" customFormat="false" ht="15" hidden="false" customHeight="false" outlineLevel="0" collapsed="false">
      <c r="A11" s="7" t="s">
        <v>37</v>
      </c>
      <c r="B11" s="7" t="s">
        <v>29</v>
      </c>
      <c r="C11" s="7" t="s">
        <v>27</v>
      </c>
      <c r="D11" s="8" t="str">
        <f aca="false">IFERROR(INDEX(August!$G$5:$G$49,MATCH($A11&amp;"|"&amp;$C11,August!$J$5:$J$49,0)),"")</f>
        <v/>
      </c>
      <c r="E11" s="8" t="str">
        <f aca="false">IFERROR(INDEX(September!$G$5:$G$56,MATCH($A11&amp;"|"&amp;$C11,September!$J$5:$J$56,0)),"")</f>
        <v/>
      </c>
      <c r="F11" s="8" t="str">
        <f aca="false">IFERROR(INDEX(October!$G$5:$G$48,MATCH($A11&amp;"|"&amp;$C11,October!$J$5:$J$48,0)),"")</f>
        <v>one-off: 247 total</v>
      </c>
      <c r="G11" s="8" t="n">
        <f aca="false">IFERROR(INDEX(November!$G$5:$G$44,MATCH($A11&amp;"|"&amp;$C11,November!$J$5:$J$44,0)),"")</f>
        <v>25</v>
      </c>
      <c r="H11" s="8" t="str">
        <f aca="false">IFERROR(INDEX(December!$G$5:$G$33,MATCH($A11&amp;"|"&amp;$C11,December!$J$5:$J$33,0)),"")</f>
        <v>one-off: 365 total</v>
      </c>
      <c r="I11" s="9" t="n">
        <v>2581</v>
      </c>
    </row>
    <row r="12" customFormat="false" ht="15" hidden="false" customHeight="false" outlineLevel="0" collapsed="false">
      <c r="A12" s="7" t="s">
        <v>38</v>
      </c>
      <c r="B12" s="7" t="s">
        <v>26</v>
      </c>
      <c r="C12" s="7" t="s">
        <v>32</v>
      </c>
      <c r="D12" s="8" t="str">
        <f aca="false">IFERROR(INDEX(August!$G$5:$G$49,MATCH($A12&amp;"|"&amp;$C12,August!$J$5:$J$49,0)),"")</f>
        <v/>
      </c>
      <c r="E12" s="8" t="str">
        <f aca="false">IFERROR(INDEX(September!$G$5:$G$56,MATCH($A12&amp;"|"&amp;$C12,September!$J$5:$J$56,0)),"")</f>
        <v/>
      </c>
      <c r="F12" s="8" t="str">
        <f aca="false">IFERROR(INDEX(October!$G$5:$G$48,MATCH($A12&amp;"|"&amp;$C12,October!$J$5:$J$48,0)),"")</f>
        <v/>
      </c>
      <c r="G12" s="8" t="str">
        <f aca="false">IFERROR(INDEX(November!$G$5:$G$44,MATCH($A12&amp;"|"&amp;$C12,November!$J$5:$J$44,0)),"")</f>
        <v>one-off: 100 total</v>
      </c>
      <c r="H12" s="8" t="str">
        <f aca="false">IFERROR(INDEX(December!$G$5:$G$33,MATCH($A12&amp;"|"&amp;$C12,December!$J$5:$J$33,0)),"")</f>
        <v/>
      </c>
      <c r="I12" s="9" t="n">
        <v>2500</v>
      </c>
    </row>
    <row r="13" customFormat="false" ht="15" hidden="false" customHeight="false" outlineLevel="0" collapsed="false">
      <c r="A13" s="7" t="s">
        <v>39</v>
      </c>
      <c r="B13" s="7" t="s">
        <v>26</v>
      </c>
      <c r="C13" s="7" t="s">
        <v>40</v>
      </c>
      <c r="D13" s="8" t="n">
        <f aca="false">IFERROR(INDEX(August!$G$5:$G$49,MATCH($A13&amp;"|"&amp;$C13,August!$J$5:$J$49,0)),"")</f>
        <v>4</v>
      </c>
      <c r="E13" s="8" t="n">
        <f aca="false">IFERROR(INDEX(September!$G$5:$G$56,MATCH($A13&amp;"|"&amp;$C13,September!$J$5:$J$56,0)),"")</f>
        <v>8</v>
      </c>
      <c r="F13" s="8" t="str">
        <f aca="false">IFERROR(INDEX(October!$G$5:$G$48,MATCH($A13&amp;"|"&amp;$C13,October!$J$5:$J$48,0)),"")</f>
        <v>one-off: 2 total</v>
      </c>
      <c r="G13" s="8" t="str">
        <f aca="false">IFERROR(INDEX(November!$G$5:$G$44,MATCH($A13&amp;"|"&amp;$C13,November!$J$5:$J$44,0)),"")</f>
        <v/>
      </c>
      <c r="H13" s="8" t="str">
        <f aca="false">IFERROR(INDEX(December!$G$5:$G$33,MATCH($A13&amp;"|"&amp;$C13,December!$J$5:$J$33,0)),"")</f>
        <v/>
      </c>
      <c r="I13" s="9" t="n">
        <v>2448</v>
      </c>
    </row>
    <row r="14" customFormat="false" ht="15" hidden="false" customHeight="false" outlineLevel="0" collapsed="false">
      <c r="A14" s="7" t="s">
        <v>41</v>
      </c>
      <c r="B14" s="7" t="s">
        <v>42</v>
      </c>
      <c r="C14" s="7" t="s">
        <v>32</v>
      </c>
      <c r="D14" s="8" t="str">
        <f aca="false">IFERROR(INDEX(August!$G$5:$G$49,MATCH($A14&amp;"|"&amp;$C14,August!$J$5:$J$49,0)),"")</f>
        <v/>
      </c>
      <c r="E14" s="8" t="str">
        <f aca="false">IFERROR(INDEX(September!$G$5:$G$56,MATCH($A14&amp;"|"&amp;$C14,September!$J$5:$J$56,0)),"")</f>
        <v>one-off: 10 total</v>
      </c>
      <c r="F14" s="8" t="n">
        <f aca="false">IFERROR(INDEX(October!$G$5:$G$48,MATCH($A14&amp;"|"&amp;$C14,October!$J$5:$J$48,0)),"")</f>
        <v>5</v>
      </c>
      <c r="G14" s="8" t="n">
        <f aca="false">IFERROR(INDEX(November!$G$5:$G$44,MATCH($A14&amp;"|"&amp;$C14,November!$J$5:$J$44,0)),"")</f>
        <v>7</v>
      </c>
      <c r="H14" s="8" t="n">
        <f aca="false">IFERROR(INDEX(December!$G$5:$G$33,MATCH($A14&amp;"|"&amp;$C14,December!$J$5:$J$33,0)),"")</f>
        <v>6</v>
      </c>
      <c r="I14" s="9" t="n">
        <v>2350</v>
      </c>
    </row>
    <row r="15" customFormat="false" ht="15" hidden="false" customHeight="false" outlineLevel="0" collapsed="false">
      <c r="A15" s="7" t="s">
        <v>43</v>
      </c>
      <c r="B15" s="7" t="s">
        <v>29</v>
      </c>
      <c r="C15" s="7" t="s">
        <v>27</v>
      </c>
      <c r="D15" s="8" t="str">
        <f aca="false">IFERROR(INDEX(August!$G$5:$G$49,MATCH($A15&amp;"|"&amp;$C15,August!$J$5:$J$49,0)),"")</f>
        <v/>
      </c>
      <c r="E15" s="8" t="str">
        <f aca="false">IFERROR(INDEX(September!$G$5:$G$56,MATCH($A15&amp;"|"&amp;$C15,September!$J$5:$J$56,0)),"")</f>
        <v/>
      </c>
      <c r="F15" s="8" t="str">
        <f aca="false">IFERROR(INDEX(October!$G$5:$G$48,MATCH($A15&amp;"|"&amp;$C15,October!$J$5:$J$48,0)),"")</f>
        <v>one-off: 49 total</v>
      </c>
      <c r="G15" s="8" t="str">
        <f aca="false">IFERROR(INDEX(November!$G$5:$G$44,MATCH($A15&amp;"|"&amp;$C15,November!$J$5:$J$44,0)),"")</f>
        <v>one-off: 545 total</v>
      </c>
      <c r="H15" s="8" t="str">
        <f aca="false">IFERROR(INDEX(December!$G$5:$G$33,MATCH($A15&amp;"|"&amp;$C15,December!$J$5:$J$33,0)),"")</f>
        <v/>
      </c>
      <c r="I15" s="9" t="n">
        <v>2228</v>
      </c>
    </row>
    <row r="16" customFormat="false" ht="15" hidden="false" customHeight="false" outlineLevel="0" collapsed="false">
      <c r="A16" s="7" t="s">
        <v>44</v>
      </c>
      <c r="B16" s="7" t="s">
        <v>42</v>
      </c>
      <c r="C16" s="7" t="s">
        <v>45</v>
      </c>
      <c r="D16" s="8" t="n">
        <f aca="false">IFERROR(INDEX(August!$G$5:$G$49,MATCH($A16&amp;"|"&amp;$C16,August!$J$5:$J$49,0)),"")</f>
        <v>11</v>
      </c>
      <c r="E16" s="8" t="n">
        <f aca="false">IFERROR(INDEX(September!$G$5:$G$56,MATCH($A16&amp;"|"&amp;$C16,September!$J$5:$J$56,0)),"")</f>
        <v>14</v>
      </c>
      <c r="F16" s="8" t="n">
        <f aca="false">IFERROR(INDEX(October!$G$5:$G$48,MATCH($A16&amp;"|"&amp;$C16,October!$J$5:$J$48,0)),"")</f>
        <v>6</v>
      </c>
      <c r="G16" s="8" t="n">
        <f aca="false">IFERROR(INDEX(November!$G$5:$G$44,MATCH($A16&amp;"|"&amp;$C16,November!$J$5:$J$44,0)),"")</f>
        <v>4</v>
      </c>
      <c r="H16" s="8" t="str">
        <f aca="false">IFERROR(INDEX(December!$G$5:$G$33,MATCH($A16&amp;"|"&amp;$C16,December!$J$5:$J$33,0)),"")</f>
        <v>one-off: 1 total</v>
      </c>
      <c r="I16" s="9" t="n">
        <v>1957</v>
      </c>
    </row>
    <row r="17" customFormat="false" ht="15" hidden="false" customHeight="false" outlineLevel="0" collapsed="false">
      <c r="A17" s="7" t="s">
        <v>46</v>
      </c>
      <c r="B17" s="7" t="s">
        <v>29</v>
      </c>
      <c r="C17" s="7" t="s">
        <v>30</v>
      </c>
      <c r="D17" s="8" t="n">
        <f aca="false">IFERROR(INDEX(August!$G$5:$G$49,MATCH($A17&amp;"|"&amp;$C17,August!$J$5:$J$49,0)),"")</f>
        <v>16</v>
      </c>
      <c r="E17" s="8" t="n">
        <f aca="false">IFERROR(INDEX(September!$G$5:$G$56,MATCH($A17&amp;"|"&amp;$C17,September!$J$5:$J$56,0)),"")</f>
        <v>33</v>
      </c>
      <c r="F17" s="8" t="n">
        <f aca="false">IFERROR(INDEX(October!$G$5:$G$48,MATCH($A17&amp;"|"&amp;$C17,October!$J$5:$J$48,0)),"")</f>
        <v>18</v>
      </c>
      <c r="G17" s="8" t="str">
        <f aca="false">IFERROR(INDEX(November!$G$5:$G$44,MATCH($A17&amp;"|"&amp;$C17,November!$J$5:$J$44,0)),"")</f>
        <v/>
      </c>
      <c r="H17" s="8" t="str">
        <f aca="false">IFERROR(INDEX(December!$G$5:$G$33,MATCH($A17&amp;"|"&amp;$C17,December!$J$5:$J$33,0)),"")</f>
        <v/>
      </c>
      <c r="I17" s="9" t="n">
        <v>1902</v>
      </c>
    </row>
    <row r="18" customFormat="false" ht="15" hidden="false" customHeight="false" outlineLevel="0" collapsed="false">
      <c r="A18" s="7" t="s">
        <v>47</v>
      </c>
      <c r="B18" s="7" t="s">
        <v>42</v>
      </c>
      <c r="C18" s="7" t="s">
        <v>32</v>
      </c>
      <c r="D18" s="8" t="str">
        <f aca="false">IFERROR(INDEX(August!$G$5:$G$49,MATCH($A18&amp;"|"&amp;$C18,August!$J$5:$J$49,0)),"")</f>
        <v/>
      </c>
      <c r="E18" s="8" t="str">
        <f aca="false">IFERROR(INDEX(September!$G$5:$G$56,MATCH($A18&amp;"|"&amp;$C18,September!$J$5:$J$56,0)),"")</f>
        <v/>
      </c>
      <c r="F18" s="8" t="n">
        <f aca="false">IFERROR(INDEX(October!$G$5:$G$48,MATCH($A18&amp;"|"&amp;$C18,October!$J$5:$J$48,0)),"")</f>
        <v>5</v>
      </c>
      <c r="G18" s="8" t="n">
        <f aca="false">IFERROR(INDEX(November!$G$5:$G$44,MATCH($A18&amp;"|"&amp;$C18,November!$J$5:$J$44,0)),"")</f>
        <v>7</v>
      </c>
      <c r="H18" s="8" t="n">
        <f aca="false">IFERROR(INDEX(December!$G$5:$G$33,MATCH($A18&amp;"|"&amp;$C18,December!$J$5:$J$33,0)),"")</f>
        <v>9</v>
      </c>
      <c r="I18" s="9" t="n">
        <v>1794</v>
      </c>
    </row>
    <row r="19" customFormat="false" ht="15" hidden="false" customHeight="false" outlineLevel="0" collapsed="false">
      <c r="A19" s="7" t="s">
        <v>39</v>
      </c>
      <c r="B19" s="7" t="s">
        <v>26</v>
      </c>
      <c r="C19" s="7" t="s">
        <v>32</v>
      </c>
      <c r="D19" s="8" t="n">
        <f aca="false">IFERROR(INDEX(August!$G$5:$G$49,MATCH($A19&amp;"|"&amp;$C19,August!$J$5:$J$49,0)),"")</f>
        <v>7</v>
      </c>
      <c r="E19" s="8" t="n">
        <f aca="false">IFERROR(INDEX(September!$G$5:$G$56,MATCH($A19&amp;"|"&amp;$C19,September!$J$5:$J$56,0)),"")</f>
        <v>5</v>
      </c>
      <c r="F19" s="8" t="str">
        <f aca="false">IFERROR(INDEX(October!$G$5:$G$48,MATCH($A19&amp;"|"&amp;$C19,October!$J$5:$J$48,0)),"")</f>
        <v>one-off: 1 total</v>
      </c>
      <c r="G19" s="8" t="str">
        <f aca="false">IFERROR(INDEX(November!$G$5:$G$44,MATCH($A19&amp;"|"&amp;$C19,November!$J$5:$J$44,0)),"")</f>
        <v/>
      </c>
      <c r="H19" s="8" t="str">
        <f aca="false">IFERROR(INDEX(December!$G$5:$G$33,MATCH($A19&amp;"|"&amp;$C19,December!$J$5:$J$33,0)),"")</f>
        <v/>
      </c>
      <c r="I19" s="9" t="n">
        <v>1240</v>
      </c>
    </row>
    <row r="20" customFormat="false" ht="15" hidden="false" customHeight="false" outlineLevel="0" collapsed="false">
      <c r="A20" s="7" t="s">
        <v>48</v>
      </c>
      <c r="B20" s="7" t="s">
        <v>26</v>
      </c>
      <c r="C20" s="7" t="s">
        <v>32</v>
      </c>
      <c r="D20" s="8" t="n">
        <f aca="false">IFERROR(INDEX(August!$G$5:$G$49,MATCH($A20&amp;"|"&amp;$C20,August!$J$5:$J$49,0)),"")</f>
        <v>17</v>
      </c>
      <c r="E20" s="8" t="n">
        <f aca="false">IFERROR(INDEX(September!$G$5:$G$56,MATCH($A20&amp;"|"&amp;$C20,September!$J$5:$J$56,0)),"")</f>
        <v>3</v>
      </c>
      <c r="F20" s="8" t="str">
        <f aca="false">IFERROR(INDEX(October!$G$5:$G$48,MATCH($A20&amp;"|"&amp;$C20,October!$J$5:$J$48,0)),"")</f>
        <v>one-off: 1 total</v>
      </c>
      <c r="G20" s="8" t="str">
        <f aca="false">IFERROR(INDEX(November!$G$5:$G$44,MATCH($A20&amp;"|"&amp;$C20,November!$J$5:$J$44,0)),"")</f>
        <v/>
      </c>
      <c r="H20" s="8" t="str">
        <f aca="false">IFERROR(INDEX(December!$G$5:$G$33,MATCH($A20&amp;"|"&amp;$C20,December!$J$5:$J$33,0)),"")</f>
        <v/>
      </c>
      <c r="I20" s="9" t="n">
        <v>1215</v>
      </c>
    </row>
    <row r="21" customFormat="false" ht="15" hidden="false" customHeight="false" outlineLevel="0" collapsed="false">
      <c r="A21" s="7" t="s">
        <v>49</v>
      </c>
      <c r="B21" s="7" t="s">
        <v>42</v>
      </c>
      <c r="C21" s="7" t="s">
        <v>45</v>
      </c>
      <c r="D21" s="8" t="n">
        <f aca="false">IFERROR(INDEX(August!$G$5:$G$49,MATCH($A21&amp;"|"&amp;$C21,August!$J$5:$J$49,0)),"")</f>
        <v>3</v>
      </c>
      <c r="E21" s="8" t="str">
        <f aca="false">IFERROR(INDEX(September!$G$5:$G$56,MATCH($A21&amp;"|"&amp;$C21,September!$J$5:$J$56,0)),"")</f>
        <v>one-off: 2 total</v>
      </c>
      <c r="F21" s="8" t="n">
        <f aca="false">IFERROR(INDEX(October!$G$5:$G$48,MATCH($A21&amp;"|"&amp;$C21,October!$J$5:$J$48,0)),"")</f>
        <v>15</v>
      </c>
      <c r="G21" s="8" t="n">
        <f aca="false">IFERROR(INDEX(November!$G$5:$G$44,MATCH($A21&amp;"|"&amp;$C21,November!$J$5:$J$44,0)),"")</f>
        <v>1</v>
      </c>
      <c r="H21" s="8" t="n">
        <f aca="false">IFERROR(INDEX(December!$G$5:$G$33,MATCH($A21&amp;"|"&amp;$C21,December!$J$5:$J$33,0)),"")</f>
        <v>2</v>
      </c>
      <c r="I21" s="9" t="n">
        <v>1176</v>
      </c>
    </row>
    <row r="22" customFormat="false" ht="15" hidden="false" customHeight="false" outlineLevel="0" collapsed="false">
      <c r="A22" s="7" t="s">
        <v>50</v>
      </c>
      <c r="B22" s="7" t="s">
        <v>29</v>
      </c>
      <c r="C22" s="7" t="s">
        <v>30</v>
      </c>
      <c r="D22" s="8" t="n">
        <f aca="false">IFERROR(INDEX(August!$G$5:$G$49,MATCH($A22&amp;"|"&amp;$C22,August!$J$5:$J$49,0)),"")</f>
        <v>29</v>
      </c>
      <c r="E22" s="8" t="n">
        <f aca="false">IFERROR(INDEX(September!$G$5:$G$56,MATCH($A22&amp;"|"&amp;$C22,September!$J$5:$J$56,0)),"")</f>
        <v>31</v>
      </c>
      <c r="F22" s="8" t="str">
        <f aca="false">IFERROR(INDEX(October!$G$5:$G$48,MATCH($A22&amp;"|"&amp;$C22,October!$J$5:$J$48,0)),"")</f>
        <v/>
      </c>
      <c r="G22" s="8" t="str">
        <f aca="false">IFERROR(INDEX(November!$G$5:$G$44,MATCH($A22&amp;"|"&amp;$C22,November!$J$5:$J$44,0)),"")</f>
        <v/>
      </c>
      <c r="H22" s="8" t="str">
        <f aca="false">IFERROR(INDEX(December!$G$5:$G$33,MATCH($A22&amp;"|"&amp;$C22,December!$J$5:$J$33,0)),"")</f>
        <v/>
      </c>
      <c r="I22" s="9" t="n">
        <v>1080</v>
      </c>
    </row>
    <row r="23" customFormat="false" ht="15" hidden="false" customHeight="false" outlineLevel="0" collapsed="false">
      <c r="A23" s="7" t="s">
        <v>51</v>
      </c>
      <c r="B23" s="7" t="s">
        <v>26</v>
      </c>
      <c r="C23" s="7" t="s">
        <v>32</v>
      </c>
      <c r="D23" s="8" t="str">
        <f aca="false">IFERROR(INDEX(August!$G$5:$G$49,MATCH($A23&amp;"|"&amp;$C23,August!$J$5:$J$49,0)),"")</f>
        <v/>
      </c>
      <c r="E23" s="8" t="str">
        <f aca="false">IFERROR(INDEX(September!$G$5:$G$56,MATCH($A23&amp;"|"&amp;$C23,September!$J$5:$J$56,0)),"")</f>
        <v>one-off: 1 total</v>
      </c>
      <c r="F23" s="8" t="str">
        <f aca="false">IFERROR(INDEX(October!$G$5:$G$48,MATCH($A23&amp;"|"&amp;$C23,October!$J$5:$J$48,0)),"")</f>
        <v>one-off: 3 total</v>
      </c>
      <c r="G23" s="8" t="n">
        <f aca="false">IFERROR(INDEX(November!$G$5:$G$44,MATCH($A23&amp;"|"&amp;$C23,November!$J$5:$J$44,0)),"")</f>
        <v>7</v>
      </c>
      <c r="H23" s="8" t="n">
        <f aca="false">IFERROR(INDEX(December!$G$5:$G$33,MATCH($A23&amp;"|"&amp;$C23,December!$J$5:$J$33,0)),"")</f>
        <v>4</v>
      </c>
      <c r="I23" s="9" t="n">
        <v>1080</v>
      </c>
    </row>
    <row r="24" customFormat="false" ht="15" hidden="false" customHeight="false" outlineLevel="0" collapsed="false">
      <c r="A24" s="7" t="s">
        <v>31</v>
      </c>
      <c r="B24" s="7" t="s">
        <v>26</v>
      </c>
      <c r="C24" s="7" t="s">
        <v>45</v>
      </c>
      <c r="D24" s="8" t="n">
        <f aca="false">IFERROR(INDEX(August!$G$5:$G$49,MATCH($A24&amp;"|"&amp;$C24,August!$J$5:$J$49,0)),"")</f>
        <v>9</v>
      </c>
      <c r="E24" s="8" t="n">
        <f aca="false">IFERROR(INDEX(September!$G$5:$G$56,MATCH($A24&amp;"|"&amp;$C24,September!$J$5:$J$56,0)),"")</f>
        <v>9</v>
      </c>
      <c r="F24" s="8" t="n">
        <f aca="false">IFERROR(INDEX(October!$G$5:$G$48,MATCH($A24&amp;"|"&amp;$C24,October!$J$5:$J$48,0)),"")</f>
        <v>3</v>
      </c>
      <c r="G24" s="8" t="str">
        <f aca="false">IFERROR(INDEX(November!$G$5:$G$44,MATCH($A24&amp;"|"&amp;$C24,November!$J$5:$J$44,0)),"")</f>
        <v/>
      </c>
      <c r="H24" s="8" t="str">
        <f aca="false">IFERROR(INDEX(December!$G$5:$G$33,MATCH($A24&amp;"|"&amp;$C24,December!$J$5:$J$33,0)),"")</f>
        <v/>
      </c>
      <c r="I24" s="9" t="n">
        <v>1032</v>
      </c>
    </row>
    <row r="25" customFormat="false" ht="15" hidden="false" customHeight="false" outlineLevel="0" collapsed="false">
      <c r="A25" s="7" t="s">
        <v>52</v>
      </c>
      <c r="B25" s="7" t="s">
        <v>42</v>
      </c>
      <c r="C25" s="7" t="s">
        <v>45</v>
      </c>
      <c r="D25" s="8" t="n">
        <f aca="false">IFERROR(INDEX(August!$G$5:$G$49,MATCH($A25&amp;"|"&amp;$C25,August!$J$5:$J$49,0)),"")</f>
        <v>6</v>
      </c>
      <c r="E25" s="8" t="n">
        <f aca="false">IFERROR(INDEX(September!$G$5:$G$56,MATCH($A25&amp;"|"&amp;$C25,September!$J$5:$J$56,0)),"")</f>
        <v>7</v>
      </c>
      <c r="F25" s="8" t="n">
        <f aca="false">IFERROR(INDEX(October!$G$5:$G$48,MATCH($A25&amp;"|"&amp;$C25,October!$J$5:$J$48,0)),"")</f>
        <v>3</v>
      </c>
      <c r="G25" s="8" t="n">
        <f aca="false">IFERROR(INDEX(November!$G$5:$G$44,MATCH($A25&amp;"|"&amp;$C25,November!$J$5:$J$44,0)),"")</f>
        <v>2</v>
      </c>
      <c r="H25" s="8" t="str">
        <f aca="false">IFERROR(INDEX(December!$G$5:$G$33,MATCH($A25&amp;"|"&amp;$C25,December!$J$5:$J$33,0)),"")</f>
        <v/>
      </c>
      <c r="I25" s="9" t="n">
        <v>912</v>
      </c>
    </row>
    <row r="26" customFormat="false" ht="15" hidden="false" customHeight="false" outlineLevel="0" collapsed="false">
      <c r="A26" s="7" t="s">
        <v>37</v>
      </c>
      <c r="B26" s="7" t="s">
        <v>29</v>
      </c>
      <c r="C26" s="7" t="s">
        <v>32</v>
      </c>
      <c r="D26" s="8" t="n">
        <f aca="false">IFERROR(INDEX(August!$G$5:$G$49,MATCH($A26&amp;"|"&amp;$C26,August!$J$5:$J$49,0)),"")</f>
        <v>2</v>
      </c>
      <c r="E26" s="8" t="n">
        <f aca="false">IFERROR(INDEX(September!$G$5:$G$56,MATCH($A26&amp;"|"&amp;$C26,September!$J$5:$J$56,0)),"")</f>
        <v>3</v>
      </c>
      <c r="F26" s="8" t="n">
        <f aca="false">IFERROR(INDEX(October!$G$5:$G$48,MATCH($A26&amp;"|"&amp;$C26,October!$J$5:$J$48,0)),"")</f>
        <v>4</v>
      </c>
      <c r="G26" s="8" t="n">
        <f aca="false">IFERROR(INDEX(November!$G$5:$G$44,MATCH($A26&amp;"|"&amp;$C26,November!$J$5:$J$44,0)),"")</f>
        <v>2</v>
      </c>
      <c r="H26" s="8" t="n">
        <f aca="false">IFERROR(INDEX(December!$G$5:$G$33,MATCH($A26&amp;"|"&amp;$C26,December!$J$5:$J$33,0)),"")</f>
        <v>1</v>
      </c>
      <c r="I26" s="9" t="n">
        <v>838</v>
      </c>
    </row>
    <row r="27" customFormat="false" ht="15" hidden="false" customHeight="false" outlineLevel="0" collapsed="false">
      <c r="A27" s="7" t="s">
        <v>53</v>
      </c>
      <c r="B27" s="7" t="s">
        <v>29</v>
      </c>
      <c r="C27" s="7" t="s">
        <v>45</v>
      </c>
      <c r="D27" s="8" t="n">
        <f aca="false">IFERROR(INDEX(August!$G$5:$G$49,MATCH($A27&amp;"|"&amp;$C27,August!$J$5:$J$49,0)),"")</f>
        <v>5</v>
      </c>
      <c r="E27" s="8" t="n">
        <f aca="false">IFERROR(INDEX(September!$G$5:$G$56,MATCH($A27&amp;"|"&amp;$C27,September!$J$5:$J$56,0)),"")</f>
        <v>7</v>
      </c>
      <c r="F27" s="8" t="n">
        <f aca="false">IFERROR(INDEX(October!$G$5:$G$48,MATCH($A27&amp;"|"&amp;$C27,October!$J$5:$J$48,0)),"")</f>
        <v>2</v>
      </c>
      <c r="G27" s="8" t="str">
        <f aca="false">IFERROR(INDEX(November!$G$5:$G$44,MATCH($A27&amp;"|"&amp;$C27,November!$J$5:$J$44,0)),"")</f>
        <v/>
      </c>
      <c r="H27" s="8" t="str">
        <f aca="false">IFERROR(INDEX(December!$G$5:$G$33,MATCH($A27&amp;"|"&amp;$C27,December!$J$5:$J$33,0)),"")</f>
        <v/>
      </c>
      <c r="I27" s="9" t="n">
        <v>810</v>
      </c>
    </row>
    <row r="28" customFormat="false" ht="15" hidden="false" customHeight="false" outlineLevel="0" collapsed="false">
      <c r="A28" s="7" t="s">
        <v>54</v>
      </c>
      <c r="B28" s="7" t="s">
        <v>26</v>
      </c>
      <c r="C28" s="7" t="s">
        <v>32</v>
      </c>
      <c r="D28" s="8" t="n">
        <f aca="false">IFERROR(INDEX(August!$G$5:$G$49,MATCH($A28&amp;"|"&amp;$C28,August!$J$5:$J$49,0)),"")</f>
        <v>1</v>
      </c>
      <c r="E28" s="8" t="n">
        <f aca="false">IFERROR(INDEX(September!$G$5:$G$56,MATCH($A28&amp;"|"&amp;$C28,September!$J$5:$J$56,0)),"")</f>
        <v>1</v>
      </c>
      <c r="F28" s="8" t="n">
        <f aca="false">IFERROR(INDEX(October!$G$5:$G$48,MATCH($A28&amp;"|"&amp;$C28,October!$J$5:$J$48,0)),"")</f>
        <v>1</v>
      </c>
      <c r="G28" s="8" t="n">
        <f aca="false">IFERROR(INDEX(November!$G$5:$G$44,MATCH($A28&amp;"|"&amp;$C28,November!$J$5:$J$44,0)),"")</f>
        <v>6</v>
      </c>
      <c r="H28" s="8" t="n">
        <f aca="false">IFERROR(INDEX(December!$G$5:$G$33,MATCH($A28&amp;"|"&amp;$C28,December!$J$5:$J$33,0)),"")</f>
        <v>3</v>
      </c>
      <c r="I28" s="9" t="n">
        <v>765</v>
      </c>
    </row>
    <row r="29" customFormat="false" ht="15" hidden="false" customHeight="false" outlineLevel="0" collapsed="false">
      <c r="A29" s="7" t="s">
        <v>55</v>
      </c>
      <c r="B29" s="7" t="s">
        <v>42</v>
      </c>
      <c r="C29" s="7" t="s">
        <v>32</v>
      </c>
      <c r="D29" s="8" t="n">
        <f aca="false">IFERROR(INDEX(August!$G$5:$G$49,MATCH($A29&amp;"|"&amp;$C29,August!$J$5:$J$49,0)),"")</f>
        <v>5</v>
      </c>
      <c r="E29" s="8" t="n">
        <f aca="false">IFERROR(INDEX(September!$G$5:$G$56,MATCH($A29&amp;"|"&amp;$C29,September!$J$5:$J$56,0)),"")</f>
        <v>5</v>
      </c>
      <c r="F29" s="8" t="n">
        <f aca="false">IFERROR(INDEX(October!$G$5:$G$48,MATCH($A29&amp;"|"&amp;$C29,October!$J$5:$J$48,0)),"")</f>
        <v>2</v>
      </c>
      <c r="G29" s="8" t="n">
        <f aca="false">IFERROR(INDEX(November!$G$5:$G$44,MATCH($A29&amp;"|"&amp;$C29,November!$J$5:$J$44,0)),"")</f>
        <v>1</v>
      </c>
      <c r="H29" s="8" t="str">
        <f aca="false">IFERROR(INDEX(December!$G$5:$G$33,MATCH($A29&amp;"|"&amp;$C29,December!$J$5:$J$33,0)),"")</f>
        <v/>
      </c>
      <c r="I29" s="9" t="n">
        <v>750</v>
      </c>
    </row>
    <row r="30" customFormat="false" ht="15" hidden="false" customHeight="false" outlineLevel="0" collapsed="false">
      <c r="A30" s="7" t="s">
        <v>34</v>
      </c>
      <c r="B30" s="7" t="s">
        <v>29</v>
      </c>
      <c r="C30" s="7" t="s">
        <v>32</v>
      </c>
      <c r="D30" s="8" t="n">
        <f aca="false">IFERROR(INDEX(August!$G$5:$G$49,MATCH($A30&amp;"|"&amp;$C30,August!$J$5:$J$49,0)),"")</f>
        <v>4</v>
      </c>
      <c r="E30" s="8" t="n">
        <f aca="false">IFERROR(INDEX(September!$G$5:$G$56,MATCH($A30&amp;"|"&amp;$C30,September!$J$5:$J$56,0)),"")</f>
        <v>11</v>
      </c>
      <c r="F30" s="8" t="str">
        <f aca="false">IFERROR(INDEX(October!$G$5:$G$48,MATCH($A30&amp;"|"&amp;$C30,October!$J$5:$J$48,0)),"")</f>
        <v/>
      </c>
      <c r="G30" s="8" t="str">
        <f aca="false">IFERROR(INDEX(November!$G$5:$G$44,MATCH($A30&amp;"|"&amp;$C30,November!$J$5:$J$44,0)),"")</f>
        <v/>
      </c>
      <c r="H30" s="8" t="str">
        <f aca="false">IFERROR(INDEX(December!$G$5:$G$33,MATCH($A30&amp;"|"&amp;$C30,December!$J$5:$J$33,0)),"")</f>
        <v/>
      </c>
      <c r="I30" s="9" t="n">
        <v>700</v>
      </c>
    </row>
    <row r="31" customFormat="false" ht="15" hidden="false" customHeight="false" outlineLevel="0" collapsed="false">
      <c r="A31" s="7" t="s">
        <v>56</v>
      </c>
      <c r="B31" s="7" t="s">
        <v>42</v>
      </c>
      <c r="C31" s="7" t="s">
        <v>45</v>
      </c>
      <c r="D31" s="8" t="n">
        <f aca="false">IFERROR(INDEX(August!$G$5:$G$49,MATCH($A31&amp;"|"&amp;$C31,August!$J$5:$J$49,0)),"")</f>
        <v>2</v>
      </c>
      <c r="E31" s="8" t="n">
        <f aca="false">IFERROR(INDEX(September!$G$5:$G$56,MATCH($A31&amp;"|"&amp;$C31,September!$J$5:$J$56,0)),"")</f>
        <v>2</v>
      </c>
      <c r="F31" s="8" t="n">
        <f aca="false">IFERROR(INDEX(October!$G$5:$G$48,MATCH($A31&amp;"|"&amp;$C31,October!$J$5:$J$48,0)),"")</f>
        <v>6</v>
      </c>
      <c r="G31" s="8" t="n">
        <f aca="false">IFERROR(INDEX(November!$G$5:$G$44,MATCH($A31&amp;"|"&amp;$C31,November!$J$5:$J$44,0)),"")</f>
        <v>8</v>
      </c>
      <c r="H31" s="8" t="n">
        <f aca="false">IFERROR(INDEX(December!$G$5:$G$33,MATCH($A31&amp;"|"&amp;$C31,December!$J$5:$J$33,0)),"")</f>
        <v>7</v>
      </c>
      <c r="I31" s="9" t="n">
        <v>696</v>
      </c>
    </row>
    <row r="32" customFormat="false" ht="15" hidden="false" customHeight="false" outlineLevel="0" collapsed="false">
      <c r="A32" s="7" t="s">
        <v>57</v>
      </c>
      <c r="B32" s="7" t="s">
        <v>26</v>
      </c>
      <c r="C32" s="7" t="s">
        <v>32</v>
      </c>
      <c r="D32" s="8" t="n">
        <f aca="false">IFERROR(INDEX(August!$G$5:$G$49,MATCH($A32&amp;"|"&amp;$C32,August!$J$5:$J$49,0)),"")</f>
        <v>1</v>
      </c>
      <c r="E32" s="8" t="n">
        <f aca="false">IFERROR(INDEX(September!$G$5:$G$56,MATCH($A32&amp;"|"&amp;$C32,September!$J$5:$J$56,0)),"")</f>
        <v>8</v>
      </c>
      <c r="F32" s="8" t="str">
        <f aca="false">IFERROR(INDEX(October!$G$5:$G$48,MATCH($A32&amp;"|"&amp;$C32,October!$J$5:$J$48,0)),"")</f>
        <v/>
      </c>
      <c r="G32" s="8" t="str">
        <f aca="false">IFERROR(INDEX(November!$G$5:$G$44,MATCH($A32&amp;"|"&amp;$C32,November!$J$5:$J$44,0)),"")</f>
        <v/>
      </c>
      <c r="H32" s="8" t="str">
        <f aca="false">IFERROR(INDEX(December!$G$5:$G$33,MATCH($A32&amp;"|"&amp;$C32,December!$J$5:$J$33,0)),"")</f>
        <v/>
      </c>
      <c r="I32" s="9" t="n">
        <v>645</v>
      </c>
    </row>
    <row r="33" customFormat="false" ht="15" hidden="false" customHeight="false" outlineLevel="0" collapsed="false">
      <c r="A33" s="7" t="s">
        <v>58</v>
      </c>
      <c r="B33" s="7" t="s">
        <v>26</v>
      </c>
      <c r="C33" s="7" t="s">
        <v>32</v>
      </c>
      <c r="D33" s="8" t="n">
        <f aca="false">IFERROR(INDEX(August!$G$5:$G$49,MATCH($A33&amp;"|"&amp;$C33,August!$J$5:$J$49,0)),"")</f>
        <v>7</v>
      </c>
      <c r="E33" s="8" t="n">
        <f aca="false">IFERROR(INDEX(September!$G$5:$G$56,MATCH($A33&amp;"|"&amp;$C33,September!$J$5:$J$56,0)),"")</f>
        <v>3</v>
      </c>
      <c r="F33" s="8" t="n">
        <f aca="false">IFERROR(INDEX(October!$G$5:$G$48,MATCH($A33&amp;"|"&amp;$C33,October!$J$5:$J$48,0)),"")</f>
        <v>1</v>
      </c>
      <c r="G33" s="8" t="n">
        <f aca="false">IFERROR(INDEX(November!$G$5:$G$44,MATCH($A33&amp;"|"&amp;$C33,November!$J$5:$J$44,0)),"")</f>
        <v>1</v>
      </c>
      <c r="H33" s="8" t="n">
        <f aca="false">IFERROR(INDEX(December!$G$5:$G$33,MATCH($A33&amp;"|"&amp;$C33,December!$J$5:$J$33,0)),"")</f>
        <v>2</v>
      </c>
      <c r="I33" s="9" t="n">
        <v>623</v>
      </c>
    </row>
    <row r="34" customFormat="false" ht="15" hidden="false" customHeight="false" outlineLevel="0" collapsed="false">
      <c r="A34" s="7" t="s">
        <v>59</v>
      </c>
      <c r="B34" s="7" t="s">
        <v>29</v>
      </c>
      <c r="C34" s="7" t="s">
        <v>32</v>
      </c>
      <c r="D34" s="8" t="n">
        <f aca="false">IFERROR(INDEX(August!$G$5:$G$49,MATCH($A34&amp;"|"&amp;$C34,August!$J$5:$J$49,0)),"")</f>
        <v>2</v>
      </c>
      <c r="E34" s="8" t="n">
        <f aca="false">IFERROR(INDEX(September!$G$5:$G$56,MATCH($A34&amp;"|"&amp;$C34,September!$J$5:$J$56,0)),"")</f>
        <v>1</v>
      </c>
      <c r="F34" s="8" t="n">
        <f aca="false">IFERROR(INDEX(October!$G$5:$G$48,MATCH($A34&amp;"|"&amp;$C34,October!$J$5:$J$48,0)),"")</f>
        <v>4</v>
      </c>
      <c r="G34" s="8" t="n">
        <f aca="false">IFERROR(INDEX(November!$G$5:$G$44,MATCH($A34&amp;"|"&amp;$C34,November!$J$5:$J$44,0)),"")</f>
        <v>2</v>
      </c>
      <c r="H34" s="8" t="str">
        <f aca="false">IFERROR(INDEX(December!$G$5:$G$33,MATCH($A34&amp;"|"&amp;$C34,December!$J$5:$J$33,0)),"")</f>
        <v/>
      </c>
      <c r="I34" s="9" t="n">
        <v>578</v>
      </c>
    </row>
    <row r="35" customFormat="false" ht="15" hidden="false" customHeight="false" outlineLevel="0" collapsed="false">
      <c r="A35" s="7" t="s">
        <v>60</v>
      </c>
      <c r="B35" s="7" t="s">
        <v>26</v>
      </c>
      <c r="C35" s="7" t="s">
        <v>40</v>
      </c>
      <c r="D35" s="8" t="str">
        <f aca="false">IFERROR(INDEX(August!$G$5:$G$49,MATCH($A35&amp;"|"&amp;$C35,August!$J$5:$J$49,0)),"")</f>
        <v/>
      </c>
      <c r="E35" s="8" t="n">
        <f aca="false">IFERROR(INDEX(September!$G$5:$G$56,MATCH($A35&amp;"|"&amp;$C35,September!$J$5:$J$56,0)),"")</f>
        <v>5</v>
      </c>
      <c r="F35" s="8" t="str">
        <f aca="false">IFERROR(INDEX(October!$G$5:$G$48,MATCH($A35&amp;"|"&amp;$C35,October!$J$5:$J$48,0)),"")</f>
        <v>one-off: 1 total</v>
      </c>
      <c r="G35" s="8" t="n">
        <f aca="false">IFERROR(INDEX(November!$G$5:$G$44,MATCH($A35&amp;"|"&amp;$C35,November!$J$5:$J$44,0)),"")</f>
        <v>1</v>
      </c>
      <c r="H35" s="8" t="str">
        <f aca="false">IFERROR(INDEX(December!$G$5:$G$33,MATCH($A35&amp;"|"&amp;$C35,December!$J$5:$J$33,0)),"")</f>
        <v>one-off: 1 total</v>
      </c>
      <c r="I35" s="9" t="n">
        <v>500</v>
      </c>
    </row>
    <row r="36" customFormat="false" ht="15" hidden="false" customHeight="false" outlineLevel="0" collapsed="false">
      <c r="A36" s="7" t="s">
        <v>44</v>
      </c>
      <c r="B36" s="7" t="s">
        <v>42</v>
      </c>
      <c r="C36" s="7" t="s">
        <v>32</v>
      </c>
      <c r="D36" s="8" t="n">
        <f aca="false">IFERROR(INDEX(August!$G$5:$G$49,MATCH($A36&amp;"|"&amp;$C36,August!$J$5:$J$49,0)),"")</f>
        <v>2</v>
      </c>
      <c r="E36" s="8" t="n">
        <f aca="false">IFERROR(INDEX(September!$G$5:$G$56,MATCH($A36&amp;"|"&amp;$C36,September!$J$5:$J$56,0)),"")</f>
        <v>5</v>
      </c>
      <c r="F36" s="8" t="n">
        <f aca="false">IFERROR(INDEX(October!$G$5:$G$48,MATCH($A36&amp;"|"&amp;$C36,October!$J$5:$J$48,0)),"")</f>
        <v>1</v>
      </c>
      <c r="G36" s="8" t="n">
        <f aca="false">IFERROR(INDEX(November!$G$5:$G$44,MATCH($A36&amp;"|"&amp;$C36,November!$J$5:$J$44,0)),"")</f>
        <v>1</v>
      </c>
      <c r="H36" s="8" t="str">
        <f aca="false">IFERROR(INDEX(December!$G$5:$G$33,MATCH($A36&amp;"|"&amp;$C36,December!$J$5:$J$33,0)),"")</f>
        <v/>
      </c>
      <c r="I36" s="9" t="n">
        <v>456</v>
      </c>
    </row>
    <row r="37" customFormat="false" ht="15" hidden="false" customHeight="false" outlineLevel="0" collapsed="false">
      <c r="A37" s="7" t="s">
        <v>61</v>
      </c>
      <c r="B37" s="7" t="s">
        <v>42</v>
      </c>
      <c r="C37" s="7" t="s">
        <v>32</v>
      </c>
      <c r="D37" s="8" t="n">
        <f aca="false">IFERROR(INDEX(August!$G$5:$G$49,MATCH($A37&amp;"|"&amp;$C37,August!$J$5:$J$49,0)),"")</f>
        <v>2</v>
      </c>
      <c r="E37" s="8" t="n">
        <f aca="false">IFERROR(INDEX(September!$G$5:$G$56,MATCH($A37&amp;"|"&amp;$C37,September!$J$5:$J$56,0)),"")</f>
        <v>2</v>
      </c>
      <c r="F37" s="8" t="n">
        <f aca="false">IFERROR(INDEX(October!$G$5:$G$48,MATCH($A37&amp;"|"&amp;$C37,October!$J$5:$J$48,0)),"")</f>
        <v>1</v>
      </c>
      <c r="G37" s="8" t="str">
        <f aca="false">IFERROR(INDEX(November!$G$5:$G$44,MATCH($A37&amp;"|"&amp;$C37,November!$J$5:$J$44,0)),"")</f>
        <v>one-off: 1 total</v>
      </c>
      <c r="H37" s="8" t="str">
        <f aca="false">IFERROR(INDEX(December!$G$5:$G$33,MATCH($A37&amp;"|"&amp;$C37,December!$J$5:$J$33,0)),"")</f>
        <v/>
      </c>
      <c r="I37" s="9" t="n">
        <v>440</v>
      </c>
    </row>
    <row r="38" customFormat="false" ht="15" hidden="false" customHeight="false" outlineLevel="0" collapsed="false">
      <c r="A38" s="7" t="s">
        <v>62</v>
      </c>
      <c r="B38" s="7" t="s">
        <v>29</v>
      </c>
      <c r="C38" s="7" t="s">
        <v>30</v>
      </c>
      <c r="D38" s="8" t="n">
        <f aca="false">IFERROR(INDEX(August!$G$5:$G$49,MATCH($A38&amp;"|"&amp;$C38,August!$J$5:$J$49,0)),"")</f>
        <v>9</v>
      </c>
      <c r="E38" s="8" t="n">
        <f aca="false">IFERROR(INDEX(September!$G$5:$G$56,MATCH($A38&amp;"|"&amp;$C38,September!$J$5:$J$56,0)),"")</f>
        <v>4</v>
      </c>
      <c r="F38" s="8" t="str">
        <f aca="false">IFERROR(INDEX(October!$G$5:$G$48,MATCH($A38&amp;"|"&amp;$C38,October!$J$5:$J$48,0)),"")</f>
        <v/>
      </c>
      <c r="G38" s="8" t="str">
        <f aca="false">IFERROR(INDEX(November!$G$5:$G$44,MATCH($A38&amp;"|"&amp;$C38,November!$J$5:$J$44,0)),"")</f>
        <v/>
      </c>
      <c r="H38" s="8" t="str">
        <f aca="false">IFERROR(INDEX(December!$G$5:$G$33,MATCH($A38&amp;"|"&amp;$C38,December!$J$5:$J$33,0)),"")</f>
        <v/>
      </c>
      <c r="I38" s="9" t="n">
        <v>436</v>
      </c>
    </row>
    <row r="39" customFormat="false" ht="15" hidden="false" customHeight="false" outlineLevel="0" collapsed="false">
      <c r="A39" s="7" t="s">
        <v>63</v>
      </c>
      <c r="B39" s="7" t="s">
        <v>36</v>
      </c>
      <c r="C39" s="7" t="s">
        <v>32</v>
      </c>
      <c r="D39" s="8" t="n">
        <f aca="false">IFERROR(INDEX(August!$G$5:$G$49,MATCH($A39&amp;"|"&amp;$C39,August!$J$5:$J$49,0)),"")</f>
        <v>4</v>
      </c>
      <c r="E39" s="8" t="n">
        <f aca="false">IFERROR(INDEX(September!$G$5:$G$56,MATCH($A39&amp;"|"&amp;$C39,September!$J$5:$J$56,0)),"")</f>
        <v>3</v>
      </c>
      <c r="F39" s="8" t="str">
        <f aca="false">IFERROR(INDEX(October!$G$5:$G$48,MATCH($A39&amp;"|"&amp;$C39,October!$J$5:$J$48,0)),"")</f>
        <v>one-off: 2 total</v>
      </c>
      <c r="G39" s="8" t="n">
        <f aca="false">IFERROR(INDEX(November!$G$5:$G$44,MATCH($A39&amp;"|"&amp;$C39,November!$J$5:$J$44,0)),"")</f>
        <v>1</v>
      </c>
      <c r="H39" s="8" t="str">
        <f aca="false">IFERROR(INDEX(December!$G$5:$G$33,MATCH($A39&amp;"|"&amp;$C39,December!$J$5:$J$33,0)),"")</f>
        <v>one-off: 3 total</v>
      </c>
      <c r="I39" s="9" t="n">
        <v>433</v>
      </c>
    </row>
    <row r="40" customFormat="false" ht="15" hidden="false" customHeight="false" outlineLevel="0" collapsed="false">
      <c r="A40" s="7" t="s">
        <v>53</v>
      </c>
      <c r="B40" s="7" t="s">
        <v>29</v>
      </c>
      <c r="C40" s="7" t="s">
        <v>32</v>
      </c>
      <c r="D40" s="8" t="str">
        <f aca="false">IFERROR(INDEX(August!$G$5:$G$49,MATCH($A40&amp;"|"&amp;$C40,August!$J$5:$J$49,0)),"")</f>
        <v/>
      </c>
      <c r="E40" s="8" t="str">
        <f aca="false">IFERROR(INDEX(September!$G$5:$G$56,MATCH($A40&amp;"|"&amp;$C40,September!$J$5:$J$56,0)),"")</f>
        <v/>
      </c>
      <c r="F40" s="8" t="n">
        <f aca="false">IFERROR(INDEX(October!$G$5:$G$48,MATCH($A40&amp;"|"&amp;$C40,October!$J$5:$J$48,0)),"")</f>
        <v>4</v>
      </c>
      <c r="G40" s="8" t="n">
        <f aca="false">IFERROR(INDEX(November!$G$5:$G$44,MATCH($A40&amp;"|"&amp;$C40,November!$J$5:$J$44,0)),"")</f>
        <v>3</v>
      </c>
      <c r="H40" s="8" t="n">
        <f aca="false">IFERROR(INDEX(December!$G$5:$G$33,MATCH($A40&amp;"|"&amp;$C40,December!$J$5:$J$33,0)),"")</f>
        <v>1</v>
      </c>
      <c r="I40" s="9" t="n">
        <v>396</v>
      </c>
    </row>
    <row r="41" customFormat="false" ht="15" hidden="false" customHeight="false" outlineLevel="0" collapsed="false">
      <c r="A41" s="7" t="s">
        <v>64</v>
      </c>
      <c r="B41" s="7" t="s">
        <v>36</v>
      </c>
      <c r="C41" s="7" t="s">
        <v>32</v>
      </c>
      <c r="D41" s="8" t="n">
        <f aca="false">IFERROR(INDEX(August!$G$5:$G$49,MATCH($A41&amp;"|"&amp;$C41,August!$J$5:$J$49,0)),"")</f>
        <v>3</v>
      </c>
      <c r="E41" s="8" t="n">
        <f aca="false">IFERROR(INDEX(September!$G$5:$G$56,MATCH($A41&amp;"|"&amp;$C41,September!$J$5:$J$56,0)),"")</f>
        <v>3</v>
      </c>
      <c r="F41" s="8" t="str">
        <f aca="false">IFERROR(INDEX(October!$G$5:$G$48,MATCH($A41&amp;"|"&amp;$C41,October!$J$5:$J$48,0)),"")</f>
        <v/>
      </c>
      <c r="G41" s="8" t="str">
        <f aca="false">IFERROR(INDEX(November!$G$5:$G$44,MATCH($A41&amp;"|"&amp;$C41,November!$J$5:$J$44,0)),"")</f>
        <v/>
      </c>
      <c r="H41" s="8" t="str">
        <f aca="false">IFERROR(INDEX(December!$G$5:$G$33,MATCH($A41&amp;"|"&amp;$C41,December!$J$5:$J$33,0)),"")</f>
        <v/>
      </c>
      <c r="I41" s="9" t="n">
        <v>390</v>
      </c>
    </row>
    <row r="42" customFormat="false" ht="15" hidden="false" customHeight="false" outlineLevel="0" collapsed="false">
      <c r="A42" s="7" t="s">
        <v>46</v>
      </c>
      <c r="B42" s="7" t="s">
        <v>29</v>
      </c>
      <c r="C42" s="7" t="s">
        <v>32</v>
      </c>
      <c r="D42" s="8" t="str">
        <f aca="false">IFERROR(INDEX(August!$G$5:$G$49,MATCH($A42&amp;"|"&amp;$C42,August!$J$5:$J$49,0)),"")</f>
        <v/>
      </c>
      <c r="E42" s="8" t="str">
        <f aca="false">IFERROR(INDEX(September!$G$5:$G$56,MATCH($A42&amp;"|"&amp;$C42,September!$J$5:$J$56,0)),"")</f>
        <v>one-off: 10 total</v>
      </c>
      <c r="F42" s="8" t="str">
        <f aca="false">IFERROR(INDEX(October!$G$5:$G$48,MATCH($A42&amp;"|"&amp;$C42,October!$J$5:$J$48,0)),"")</f>
        <v>one-off: 5 total</v>
      </c>
      <c r="G42" s="8" t="str">
        <f aca="false">IFERROR(INDEX(November!$G$5:$G$44,MATCH($A42&amp;"|"&amp;$C42,November!$J$5:$J$44,0)),"")</f>
        <v/>
      </c>
      <c r="H42" s="8" t="str">
        <f aca="false">IFERROR(INDEX(December!$G$5:$G$33,MATCH($A42&amp;"|"&amp;$C42,December!$J$5:$J$33,0)),"")</f>
        <v/>
      </c>
      <c r="I42" s="9" t="n">
        <v>375</v>
      </c>
    </row>
    <row r="43" customFormat="false" ht="15" hidden="false" customHeight="false" outlineLevel="0" collapsed="false">
      <c r="A43" s="7" t="s">
        <v>62</v>
      </c>
      <c r="B43" s="7" t="s">
        <v>29</v>
      </c>
      <c r="C43" s="7" t="s">
        <v>27</v>
      </c>
      <c r="D43" s="8" t="n">
        <f aca="false">IFERROR(INDEX(August!$G$5:$G$49,MATCH($A43&amp;"|"&amp;$C43,August!$J$5:$J$49,0)),"")</f>
        <v>17</v>
      </c>
      <c r="E43" s="8" t="n">
        <f aca="false">IFERROR(INDEX(September!$G$5:$G$56,MATCH($A43&amp;"|"&amp;$C43,September!$J$5:$J$56,0)),"")</f>
        <v>9</v>
      </c>
      <c r="F43" s="8" t="str">
        <f aca="false">IFERROR(INDEX(October!$G$5:$G$48,MATCH($A43&amp;"|"&amp;$C43,October!$J$5:$J$48,0)),"")</f>
        <v/>
      </c>
      <c r="G43" s="8" t="str">
        <f aca="false">IFERROR(INDEX(November!$G$5:$G$44,MATCH($A43&amp;"|"&amp;$C43,November!$J$5:$J$44,0)),"")</f>
        <v/>
      </c>
      <c r="H43" s="8" t="str">
        <f aca="false">IFERROR(INDEX(December!$G$5:$G$33,MATCH($A43&amp;"|"&amp;$C43,December!$J$5:$J$33,0)),"")</f>
        <v/>
      </c>
      <c r="I43" s="9" t="n">
        <v>321</v>
      </c>
    </row>
    <row r="44" customFormat="false" ht="15" hidden="false" customHeight="false" outlineLevel="0" collapsed="false">
      <c r="A44" s="7" t="s">
        <v>65</v>
      </c>
      <c r="B44" s="7" t="s">
        <v>26</v>
      </c>
      <c r="C44" s="7" t="s">
        <v>32</v>
      </c>
      <c r="D44" s="8" t="str">
        <f aca="false">IFERROR(INDEX(August!$G$5:$G$49,MATCH($A44&amp;"|"&amp;$C44,August!$J$5:$J$49,0)),"")</f>
        <v/>
      </c>
      <c r="E44" s="8" t="str">
        <f aca="false">IFERROR(INDEX(September!$G$5:$G$56,MATCH($A44&amp;"|"&amp;$C44,September!$J$5:$J$56,0)),"")</f>
        <v/>
      </c>
      <c r="F44" s="8" t="str">
        <f aca="false">IFERROR(INDEX(October!$G$5:$G$48,MATCH($A44&amp;"|"&amp;$C44,October!$J$5:$J$48,0)),"")</f>
        <v/>
      </c>
      <c r="G44" s="8" t="str">
        <f aca="false">IFERROR(INDEX(November!$G$5:$G$44,MATCH($A44&amp;"|"&amp;$C44,November!$J$5:$J$44,0)),"")</f>
        <v>one-off: 20 total</v>
      </c>
      <c r="H44" s="8" t="str">
        <f aca="false">IFERROR(INDEX(December!$G$5:$G$33,MATCH($A44&amp;"|"&amp;$C44,December!$J$5:$J$33,0)),"")</f>
        <v/>
      </c>
      <c r="I44" s="9" t="n">
        <v>300</v>
      </c>
    </row>
    <row r="45" customFormat="false" ht="15" hidden="false" customHeight="false" outlineLevel="0" collapsed="false">
      <c r="A45" s="7" t="s">
        <v>66</v>
      </c>
      <c r="B45" s="7" t="s">
        <v>42</v>
      </c>
      <c r="C45" s="7" t="s">
        <v>32</v>
      </c>
      <c r="D45" s="8" t="n">
        <f aca="false">IFERROR(INDEX(August!$G$5:$G$49,MATCH($A45&amp;"|"&amp;$C45,August!$J$5:$J$49,0)),"")</f>
        <v>2</v>
      </c>
      <c r="E45" s="8" t="n">
        <f aca="false">IFERROR(INDEX(September!$G$5:$G$56,MATCH($A45&amp;"|"&amp;$C45,September!$J$5:$J$56,0)),"")</f>
        <v>3</v>
      </c>
      <c r="F45" s="8" t="str">
        <f aca="false">IFERROR(INDEX(October!$G$5:$G$48,MATCH($A45&amp;"|"&amp;$C45,October!$J$5:$J$48,0)),"")</f>
        <v/>
      </c>
      <c r="G45" s="8" t="str">
        <f aca="false">IFERROR(INDEX(November!$G$5:$G$44,MATCH($A45&amp;"|"&amp;$C45,November!$J$5:$J$44,0)),"")</f>
        <v/>
      </c>
      <c r="H45" s="8" t="str">
        <f aca="false">IFERROR(INDEX(December!$G$5:$G$33,MATCH($A45&amp;"|"&amp;$C45,December!$J$5:$J$33,0)),"")</f>
        <v/>
      </c>
      <c r="I45" s="9" t="n">
        <v>264</v>
      </c>
    </row>
    <row r="46" customFormat="false" ht="15" hidden="false" customHeight="false" outlineLevel="0" collapsed="false">
      <c r="A46" s="7" t="s">
        <v>67</v>
      </c>
      <c r="B46" s="7" t="s">
        <v>36</v>
      </c>
      <c r="C46" s="7" t="s">
        <v>32</v>
      </c>
      <c r="D46" s="8" t="n">
        <f aca="false">IFERROR(INDEX(August!$G$5:$G$49,MATCH($A46&amp;"|"&amp;$C46,August!$J$5:$J$49,0)),"")</f>
        <v>3</v>
      </c>
      <c r="E46" s="8" t="str">
        <f aca="false">IFERROR(INDEX(September!$G$5:$G$56,MATCH($A46&amp;"|"&amp;$C46,September!$J$5:$J$56,0)),"")</f>
        <v>one-off: 6 total</v>
      </c>
      <c r="F46" s="8" t="str">
        <f aca="false">IFERROR(INDEX(October!$G$5:$G$48,MATCH($A46&amp;"|"&amp;$C46,October!$J$5:$J$48,0)),"")</f>
        <v/>
      </c>
      <c r="G46" s="8" t="str">
        <f aca="false">IFERROR(INDEX(November!$G$5:$G$44,MATCH($A46&amp;"|"&amp;$C46,November!$J$5:$J$44,0)),"")</f>
        <v/>
      </c>
      <c r="H46" s="8" t="str">
        <f aca="false">IFERROR(INDEX(December!$G$5:$G$33,MATCH($A46&amp;"|"&amp;$C46,December!$J$5:$J$33,0)),"")</f>
        <v/>
      </c>
      <c r="I46" s="9" t="n">
        <v>240</v>
      </c>
    </row>
    <row r="47" customFormat="false" ht="15" hidden="false" customHeight="false" outlineLevel="0" collapsed="false">
      <c r="A47" s="7" t="s">
        <v>68</v>
      </c>
      <c r="B47" s="7" t="s">
        <v>29</v>
      </c>
      <c r="C47" s="7" t="s">
        <v>27</v>
      </c>
      <c r="D47" s="8" t="str">
        <f aca="false">IFERROR(INDEX(August!$G$5:$G$49,MATCH($A47&amp;"|"&amp;$C47,August!$J$5:$J$49,0)),"")</f>
        <v>one-off: 14 total</v>
      </c>
      <c r="E47" s="8" t="n">
        <f aca="false">IFERROR(INDEX(September!$G$5:$G$56,MATCH($A47&amp;"|"&amp;$C47,September!$J$5:$J$56,0)),"")</f>
        <v>4</v>
      </c>
      <c r="F47" s="8" t="str">
        <f aca="false">IFERROR(INDEX(October!$G$5:$G$48,MATCH($A47&amp;"|"&amp;$C47,October!$J$5:$J$48,0)),"")</f>
        <v/>
      </c>
      <c r="G47" s="8" t="str">
        <f aca="false">IFERROR(INDEX(November!$G$5:$G$44,MATCH($A47&amp;"|"&amp;$C47,November!$J$5:$J$44,0)),"")</f>
        <v/>
      </c>
      <c r="H47" s="8" t="str">
        <f aca="false">IFERROR(INDEX(December!$G$5:$G$33,MATCH($A47&amp;"|"&amp;$C47,December!$J$5:$J$33,0)),"")</f>
        <v/>
      </c>
      <c r="I47" s="9" t="n">
        <v>205</v>
      </c>
    </row>
    <row r="48" customFormat="false" ht="15" hidden="false" customHeight="false" outlineLevel="0" collapsed="false">
      <c r="A48" s="7" t="s">
        <v>69</v>
      </c>
      <c r="B48" s="7" t="s">
        <v>26</v>
      </c>
      <c r="C48" s="7" t="s">
        <v>32</v>
      </c>
      <c r="D48" s="8" t="str">
        <f aca="false">IFERROR(INDEX(August!$G$5:$G$49,MATCH($A48&amp;"|"&amp;$C48,August!$J$5:$J$49,0)),"")</f>
        <v>one-off: 1 total</v>
      </c>
      <c r="E48" s="8" t="n">
        <f aca="false">IFERROR(INDEX(September!$G$5:$G$56,MATCH($A48&amp;"|"&amp;$C48,September!$J$5:$J$56,0)),"")</f>
        <v>2</v>
      </c>
      <c r="F48" s="8" t="n">
        <f aca="false">IFERROR(INDEX(October!$G$5:$G$48,MATCH($A48&amp;"|"&amp;$C48,October!$J$5:$J$48,0)),"")</f>
        <v>1</v>
      </c>
      <c r="G48" s="8" t="n">
        <f aca="false">IFERROR(INDEX(November!$G$5:$G$44,MATCH($A48&amp;"|"&amp;$C48,November!$J$5:$J$44,0)),"")</f>
        <v>1</v>
      </c>
      <c r="H48" s="8" t="str">
        <f aca="false">IFERROR(INDEX(December!$G$5:$G$33,MATCH($A48&amp;"|"&amp;$C48,December!$J$5:$J$33,0)),"")</f>
        <v/>
      </c>
      <c r="I48" s="9" t="n">
        <v>204</v>
      </c>
    </row>
    <row r="49" customFormat="false" ht="15" hidden="false" customHeight="false" outlineLevel="0" collapsed="false">
      <c r="A49" s="7" t="s">
        <v>70</v>
      </c>
      <c r="B49" s="7" t="s">
        <v>42</v>
      </c>
      <c r="C49" s="7" t="s">
        <v>32</v>
      </c>
      <c r="D49" s="8" t="str">
        <f aca="false">IFERROR(INDEX(August!$G$5:$G$49,MATCH($A49&amp;"|"&amp;$C49,August!$J$5:$J$49,0)),"")</f>
        <v>one-off: 5 total</v>
      </c>
      <c r="E49" s="8" t="n">
        <f aca="false">IFERROR(INDEX(September!$G$5:$G$56,MATCH($A49&amp;"|"&amp;$C49,September!$J$5:$J$56,0)),"")</f>
        <v>2</v>
      </c>
      <c r="F49" s="8" t="str">
        <f aca="false">IFERROR(INDEX(October!$G$5:$G$48,MATCH($A49&amp;"|"&amp;$C49,October!$J$5:$J$48,0)),"")</f>
        <v>one-off: 1 total</v>
      </c>
      <c r="G49" s="8" t="str">
        <f aca="false">IFERROR(INDEX(November!$G$5:$G$44,MATCH($A49&amp;"|"&amp;$C49,November!$J$5:$J$44,0)),"")</f>
        <v/>
      </c>
      <c r="H49" s="8" t="str">
        <f aca="false">IFERROR(INDEX(December!$G$5:$G$33,MATCH($A49&amp;"|"&amp;$C49,December!$J$5:$J$33,0)),"")</f>
        <v/>
      </c>
      <c r="I49" s="9" t="n">
        <v>195</v>
      </c>
    </row>
    <row r="50" customFormat="false" ht="15" hidden="false" customHeight="false" outlineLevel="0" collapsed="false">
      <c r="A50" s="7" t="s">
        <v>71</v>
      </c>
      <c r="B50" s="7" t="s">
        <v>36</v>
      </c>
      <c r="C50" s="7" t="s">
        <v>32</v>
      </c>
      <c r="D50" s="8" t="str">
        <f aca="false">IFERROR(INDEX(August!$G$5:$G$49,MATCH($A50&amp;"|"&amp;$C50,August!$J$5:$J$49,0)),"")</f>
        <v/>
      </c>
      <c r="E50" s="8" t="str">
        <f aca="false">IFERROR(INDEX(September!$G$5:$G$56,MATCH($A50&amp;"|"&amp;$C50,September!$J$5:$J$56,0)),"")</f>
        <v/>
      </c>
      <c r="F50" s="8" t="str">
        <f aca="false">IFERROR(INDEX(October!$G$5:$G$48,MATCH($A50&amp;"|"&amp;$C50,October!$J$5:$J$48,0)),"")</f>
        <v/>
      </c>
      <c r="G50" s="8" t="n">
        <f aca="false">IFERROR(INDEX(November!$G$5:$G$44,MATCH($A50&amp;"|"&amp;$C50,November!$J$5:$J$44,0)),"")</f>
        <v>1</v>
      </c>
      <c r="H50" s="8" t="n">
        <f aca="false">IFERROR(INDEX(December!$G$5:$G$33,MATCH($A50&amp;"|"&amp;$C50,December!$J$5:$J$33,0)),"")</f>
        <v>2</v>
      </c>
      <c r="I50" s="9" t="n">
        <v>195</v>
      </c>
    </row>
    <row r="51" customFormat="false" ht="15" hidden="false" customHeight="false" outlineLevel="0" collapsed="false">
      <c r="A51" s="7" t="s">
        <v>72</v>
      </c>
      <c r="B51" s="7" t="s">
        <v>26</v>
      </c>
      <c r="C51" s="7" t="s">
        <v>27</v>
      </c>
      <c r="D51" s="8" t="str">
        <f aca="false">IFERROR(INDEX(August!$G$5:$G$49,MATCH($A51&amp;"|"&amp;$C51,August!$J$5:$J$49,0)),"")</f>
        <v/>
      </c>
      <c r="E51" s="8" t="n">
        <f aca="false">IFERROR(INDEX(September!$G$5:$G$56,MATCH($A51&amp;"|"&amp;$C51,September!$J$5:$J$56,0)),"")</f>
        <v>80</v>
      </c>
      <c r="F51" s="8" t="str">
        <f aca="false">IFERROR(INDEX(October!$G$5:$G$48,MATCH($A51&amp;"|"&amp;$C51,October!$J$5:$J$48,0)),"")</f>
        <v>one-off: 100 total</v>
      </c>
      <c r="G51" s="8" t="n">
        <f aca="false">IFERROR(INDEX(November!$G$5:$G$44,MATCH($A51&amp;"|"&amp;$C51,November!$J$5:$J$44,0)),"")</f>
        <v>70</v>
      </c>
      <c r="H51" s="8" t="n">
        <f aca="false">IFERROR(INDEX(December!$G$5:$G$33,MATCH($A51&amp;"|"&amp;$C51,December!$J$5:$J$33,0)),"")</f>
        <v>20</v>
      </c>
      <c r="I51" s="9" t="n">
        <v>190</v>
      </c>
    </row>
    <row r="52" customFormat="false" ht="15" hidden="false" customHeight="false" outlineLevel="0" collapsed="false">
      <c r="A52" s="7" t="s">
        <v>73</v>
      </c>
      <c r="B52" s="7" t="s">
        <v>29</v>
      </c>
      <c r="C52" s="7" t="s">
        <v>30</v>
      </c>
      <c r="D52" s="8" t="n">
        <f aca="false">IFERROR(INDEX(August!$G$5:$G$49,MATCH($A52&amp;"|"&amp;$C52,August!$J$5:$J$49,0)),"")</f>
        <v>9</v>
      </c>
      <c r="E52" s="8" t="str">
        <f aca="false">IFERROR(INDEX(September!$G$5:$G$56,MATCH($A52&amp;"|"&amp;$C52,September!$J$5:$J$56,0)),"")</f>
        <v/>
      </c>
      <c r="F52" s="8" t="str">
        <f aca="false">IFERROR(INDEX(October!$G$5:$G$48,MATCH($A52&amp;"|"&amp;$C52,October!$J$5:$J$48,0)),"")</f>
        <v/>
      </c>
      <c r="G52" s="8" t="str">
        <f aca="false">IFERROR(INDEX(November!$G$5:$G$44,MATCH($A52&amp;"|"&amp;$C52,November!$J$5:$J$44,0)),"")</f>
        <v/>
      </c>
      <c r="H52" s="8" t="str">
        <f aca="false">IFERROR(INDEX(December!$G$5:$G$33,MATCH($A52&amp;"|"&amp;$C52,December!$J$5:$J$33,0)),"")</f>
        <v/>
      </c>
      <c r="I52" s="9" t="n">
        <v>180</v>
      </c>
    </row>
    <row r="53" customFormat="false" ht="15" hidden="false" customHeight="false" outlineLevel="0" collapsed="false">
      <c r="A53" s="7" t="s">
        <v>74</v>
      </c>
      <c r="B53" s="7" t="s">
        <v>29</v>
      </c>
      <c r="C53" s="7" t="s">
        <v>32</v>
      </c>
      <c r="D53" s="8" t="str">
        <f aca="false">IFERROR(INDEX(August!$G$5:$G$49,MATCH($A53&amp;"|"&amp;$C53,August!$J$5:$J$49,0)),"")</f>
        <v/>
      </c>
      <c r="E53" s="8" t="str">
        <f aca="false">IFERROR(INDEX(September!$G$5:$G$56,MATCH($A53&amp;"|"&amp;$C53,September!$J$5:$J$56,0)),"")</f>
        <v/>
      </c>
      <c r="F53" s="8" t="str">
        <f aca="false">IFERROR(INDEX(October!$G$5:$G$48,MATCH($A53&amp;"|"&amp;$C53,October!$J$5:$J$48,0)),"")</f>
        <v/>
      </c>
      <c r="G53" s="8" t="n">
        <f aca="false">IFERROR(INDEX(November!$G$5:$G$44,MATCH($A53&amp;"|"&amp;$C53,November!$J$5:$J$44,0)),"")</f>
        <v>2</v>
      </c>
      <c r="H53" s="8" t="n">
        <f aca="false">IFERROR(INDEX(December!$G$5:$G$33,MATCH($A53&amp;"|"&amp;$C53,December!$J$5:$J$33,0)),"")</f>
        <v>1</v>
      </c>
      <c r="I53" s="9" t="n">
        <v>178</v>
      </c>
    </row>
    <row r="54" customFormat="false" ht="15" hidden="false" customHeight="false" outlineLevel="0" collapsed="false">
      <c r="A54" s="7" t="s">
        <v>75</v>
      </c>
      <c r="B54" s="7" t="s">
        <v>42</v>
      </c>
      <c r="C54" s="7" t="s">
        <v>32</v>
      </c>
      <c r="D54" s="8" t="str">
        <f aca="false">IFERROR(INDEX(August!$G$5:$G$49,MATCH($A54&amp;"|"&amp;$C54,August!$J$5:$J$49,0)),"")</f>
        <v/>
      </c>
      <c r="E54" s="8" t="str">
        <f aca="false">IFERROR(INDEX(September!$G$5:$G$56,MATCH($A54&amp;"|"&amp;$C54,September!$J$5:$J$56,0)),"")</f>
        <v/>
      </c>
      <c r="F54" s="8" t="n">
        <f aca="false">IFERROR(INDEX(October!$G$5:$G$48,MATCH($A54&amp;"|"&amp;$C54,October!$J$5:$J$48,0)),"")</f>
        <v>3</v>
      </c>
      <c r="G54" s="8" t="str">
        <f aca="false">IFERROR(INDEX(November!$G$5:$G$44,MATCH($A54&amp;"|"&amp;$C54,November!$J$5:$J$44,0)),"")</f>
        <v/>
      </c>
      <c r="H54" s="8" t="str">
        <f aca="false">IFERROR(INDEX(December!$G$5:$G$33,MATCH($A54&amp;"|"&amp;$C54,December!$J$5:$J$33,0)),"")</f>
        <v/>
      </c>
      <c r="I54" s="9" t="n">
        <v>176</v>
      </c>
    </row>
    <row r="55" customFormat="false" ht="15" hidden="false" customHeight="false" outlineLevel="0" collapsed="false">
      <c r="A55" s="7" t="s">
        <v>41</v>
      </c>
      <c r="B55" s="7" t="s">
        <v>42</v>
      </c>
      <c r="C55" s="7" t="s">
        <v>45</v>
      </c>
      <c r="D55" s="8" t="str">
        <f aca="false">IFERROR(INDEX(August!$G$5:$G$49,MATCH($A55&amp;"|"&amp;$C55,August!$J$5:$J$49,0)),"")</f>
        <v/>
      </c>
      <c r="E55" s="8" t="str">
        <f aca="false">IFERROR(INDEX(September!$G$5:$G$56,MATCH($A55&amp;"|"&amp;$C55,September!$J$5:$J$56,0)),"")</f>
        <v>one-off: 3 total</v>
      </c>
      <c r="F55" s="8" t="n">
        <f aca="false">IFERROR(INDEX(October!$G$5:$G$48,MATCH($A55&amp;"|"&amp;$C55,October!$J$5:$J$48,0)),"")</f>
        <v>1</v>
      </c>
      <c r="G55" s="8" t="n">
        <f aca="false">IFERROR(INDEX(November!$G$5:$G$44,MATCH($A55&amp;"|"&amp;$C55,November!$J$5:$J$44,0)),"")</f>
        <v>2</v>
      </c>
      <c r="H55" s="8" t="n">
        <f aca="false">IFERROR(INDEX(December!$G$5:$G$33,MATCH($A55&amp;"|"&amp;$C55,December!$J$5:$J$33,0)),"")</f>
        <v>1</v>
      </c>
      <c r="I55" s="9" t="n">
        <v>170</v>
      </c>
    </row>
    <row r="56" customFormat="false" ht="15" hidden="false" customHeight="false" outlineLevel="0" collapsed="false">
      <c r="A56" s="7" t="s">
        <v>57</v>
      </c>
      <c r="B56" s="7" t="s">
        <v>26</v>
      </c>
      <c r="C56" s="7" t="s">
        <v>45</v>
      </c>
      <c r="D56" s="8" t="str">
        <f aca="false">IFERROR(INDEX(August!$G$5:$G$49,MATCH($A56&amp;"|"&amp;$C56,August!$J$5:$J$49,0)),"")</f>
        <v>one-off: 2 total</v>
      </c>
      <c r="E56" s="8" t="n">
        <f aca="false">IFERROR(INDEX(September!$G$5:$G$56,MATCH($A56&amp;"|"&amp;$C56,September!$J$5:$J$56,0)),"")</f>
        <v>2</v>
      </c>
      <c r="F56" s="8" t="str">
        <f aca="false">IFERROR(INDEX(October!$G$5:$G$48,MATCH($A56&amp;"|"&amp;$C56,October!$J$5:$J$48,0)),"")</f>
        <v>one-off: 1 total</v>
      </c>
      <c r="G56" s="8" t="str">
        <f aca="false">IFERROR(INDEX(November!$G$5:$G$44,MATCH($A56&amp;"|"&amp;$C56,November!$J$5:$J$44,0)),"")</f>
        <v/>
      </c>
      <c r="H56" s="8" t="str">
        <f aca="false">IFERROR(INDEX(December!$G$5:$G$33,MATCH($A56&amp;"|"&amp;$C56,December!$J$5:$J$33,0)),"")</f>
        <v/>
      </c>
      <c r="I56" s="9" t="n">
        <v>156</v>
      </c>
    </row>
    <row r="57" customFormat="false" ht="15" hidden="false" customHeight="false" outlineLevel="0" collapsed="false">
      <c r="A57" s="7" t="s">
        <v>76</v>
      </c>
      <c r="B57" s="7" t="s">
        <v>29</v>
      </c>
      <c r="C57" s="7" t="s">
        <v>30</v>
      </c>
      <c r="D57" s="8" t="str">
        <f aca="false">IFERROR(INDEX(August!$G$5:$G$49,MATCH($A57&amp;"|"&amp;$C57,August!$J$5:$J$49,0)),"")</f>
        <v>one-off: 10 total</v>
      </c>
      <c r="E57" s="8" t="str">
        <f aca="false">IFERROR(INDEX(September!$G$5:$G$56,MATCH($A57&amp;"|"&amp;$C57,September!$J$5:$J$56,0)),"")</f>
        <v>one-off: 20 total</v>
      </c>
      <c r="F57" s="8" t="str">
        <f aca="false">IFERROR(INDEX(October!$G$5:$G$48,MATCH($A57&amp;"|"&amp;$C57,October!$J$5:$J$48,0)),"")</f>
        <v/>
      </c>
      <c r="G57" s="8" t="str">
        <f aca="false">IFERROR(INDEX(November!$G$5:$G$44,MATCH($A57&amp;"|"&amp;$C57,November!$J$5:$J$44,0)),"")</f>
        <v/>
      </c>
      <c r="H57" s="8" t="str">
        <f aca="false">IFERROR(INDEX(December!$G$5:$G$33,MATCH($A57&amp;"|"&amp;$C57,December!$J$5:$J$33,0)),"")</f>
        <v/>
      </c>
      <c r="I57" s="9" t="n">
        <v>150</v>
      </c>
    </row>
    <row r="58" customFormat="false" ht="15" hidden="false" customHeight="false" outlineLevel="0" collapsed="false">
      <c r="A58" s="7" t="s">
        <v>77</v>
      </c>
      <c r="B58" s="7" t="s">
        <v>42</v>
      </c>
      <c r="C58" s="7" t="s">
        <v>32</v>
      </c>
      <c r="D58" s="8" t="str">
        <f aca="false">IFERROR(INDEX(August!$G$5:$G$49,MATCH($A58&amp;"|"&amp;$C58,August!$J$5:$J$49,0)),"")</f>
        <v>one-off: 2 total</v>
      </c>
      <c r="E58" s="8" t="n">
        <f aca="false">IFERROR(INDEX(September!$G$5:$G$56,MATCH($A58&amp;"|"&amp;$C58,September!$J$5:$J$56,0)),"")</f>
        <v>2</v>
      </c>
      <c r="F58" s="8" t="str">
        <f aca="false">IFERROR(INDEX(October!$G$5:$G$48,MATCH($A58&amp;"|"&amp;$C58,October!$J$5:$J$48,0)),"")</f>
        <v/>
      </c>
      <c r="G58" s="8" t="str">
        <f aca="false">IFERROR(INDEX(November!$G$5:$G$44,MATCH($A58&amp;"|"&amp;$C58,November!$J$5:$J$44,0)),"")</f>
        <v/>
      </c>
      <c r="H58" s="8" t="str">
        <f aca="false">IFERROR(INDEX(December!$G$5:$G$33,MATCH($A58&amp;"|"&amp;$C58,December!$J$5:$J$33,0)),"")</f>
        <v/>
      </c>
      <c r="I58" s="9" t="n">
        <v>150</v>
      </c>
    </row>
    <row r="59" customFormat="false" ht="15" hidden="false" customHeight="false" outlineLevel="0" collapsed="false">
      <c r="A59" s="7" t="s">
        <v>78</v>
      </c>
      <c r="B59" s="7" t="s">
        <v>26</v>
      </c>
      <c r="C59" s="7" t="s">
        <v>32</v>
      </c>
      <c r="D59" s="8" t="str">
        <f aca="false">IFERROR(INDEX(August!$G$5:$G$49,MATCH($A59&amp;"|"&amp;$C59,August!$J$5:$J$49,0)),"")</f>
        <v/>
      </c>
      <c r="E59" s="8" t="str">
        <f aca="false">IFERROR(INDEX(September!$G$5:$G$56,MATCH($A59&amp;"|"&amp;$C59,September!$J$5:$J$56,0)),"")</f>
        <v/>
      </c>
      <c r="F59" s="8" t="str">
        <f aca="false">IFERROR(INDEX(October!$G$5:$G$48,MATCH($A59&amp;"|"&amp;$C59,October!$J$5:$J$48,0)),"")</f>
        <v>one-off: 6 total</v>
      </c>
      <c r="G59" s="8" t="str">
        <f aca="false">IFERROR(INDEX(November!$G$5:$G$44,MATCH($A59&amp;"|"&amp;$C59,November!$J$5:$J$44,0)),"")</f>
        <v>one-off: 6 total</v>
      </c>
      <c r="H59" s="8" t="str">
        <f aca="false">IFERROR(INDEX(December!$G$5:$G$33,MATCH($A59&amp;"|"&amp;$C59,December!$J$5:$J$33,0)),"")</f>
        <v/>
      </c>
      <c r="I59" s="9" t="n">
        <v>144</v>
      </c>
    </row>
    <row r="60" customFormat="false" ht="15" hidden="false" customHeight="false" outlineLevel="0" collapsed="false">
      <c r="A60" s="7" t="s">
        <v>50</v>
      </c>
      <c r="B60" s="7" t="s">
        <v>29</v>
      </c>
      <c r="C60" s="7" t="s">
        <v>32</v>
      </c>
      <c r="D60" s="8" t="str">
        <f aca="false">IFERROR(INDEX(August!$G$5:$G$49,MATCH($A60&amp;"|"&amp;$C60,August!$J$5:$J$49,0)),"")</f>
        <v/>
      </c>
      <c r="E60" s="8" t="str">
        <f aca="false">IFERROR(INDEX(September!$G$5:$G$56,MATCH($A60&amp;"|"&amp;$C60,September!$J$5:$J$56,0)),"")</f>
        <v/>
      </c>
      <c r="F60" s="8" t="str">
        <f aca="false">IFERROR(INDEX(October!$G$5:$G$48,MATCH($A60&amp;"|"&amp;$C60,October!$J$5:$J$48,0)),"")</f>
        <v/>
      </c>
      <c r="G60" s="8" t="str">
        <f aca="false">IFERROR(INDEX(November!$G$5:$G$44,MATCH($A60&amp;"|"&amp;$C60,November!$J$5:$J$44,0)),"")</f>
        <v/>
      </c>
      <c r="H60" s="8" t="n">
        <f aca="false">IFERROR(INDEX(December!$G$5:$G$33,MATCH($A60&amp;"|"&amp;$C60,December!$J$5:$J$33,0)),"")</f>
        <v>3</v>
      </c>
      <c r="I60" s="9" t="n">
        <v>144</v>
      </c>
    </row>
    <row r="61" customFormat="false" ht="15" hidden="false" customHeight="false" outlineLevel="0" collapsed="false">
      <c r="A61" s="7" t="s">
        <v>79</v>
      </c>
      <c r="B61" s="7" t="s">
        <v>26</v>
      </c>
      <c r="C61" s="7" t="s">
        <v>32</v>
      </c>
      <c r="D61" s="8" t="str">
        <f aca="false">IFERROR(INDEX(August!$G$5:$G$49,MATCH($A61&amp;"|"&amp;$C61,August!$J$5:$J$49,0)),"")</f>
        <v>one-off: 1 total</v>
      </c>
      <c r="E61" s="8" t="str">
        <f aca="false">IFERROR(INDEX(September!$G$5:$G$56,MATCH($A61&amp;"|"&amp;$C61,September!$J$5:$J$56,0)),"")</f>
        <v>one-off: 2 total</v>
      </c>
      <c r="F61" s="8" t="str">
        <f aca="false">IFERROR(INDEX(October!$G$5:$G$48,MATCH($A61&amp;"|"&amp;$C61,October!$J$5:$J$48,0)),"")</f>
        <v/>
      </c>
      <c r="G61" s="8" t="str">
        <f aca="false">IFERROR(INDEX(November!$G$5:$G$44,MATCH($A61&amp;"|"&amp;$C61,November!$J$5:$J$44,0)),"")</f>
        <v>one-off: 2 total</v>
      </c>
      <c r="H61" s="8" t="n">
        <f aca="false">IFERROR(INDEX(December!$G$5:$G$33,MATCH($A61&amp;"|"&amp;$C61,December!$J$5:$J$33,0)),"")</f>
        <v>1</v>
      </c>
      <c r="I61" s="9" t="n">
        <v>140</v>
      </c>
    </row>
    <row r="62" customFormat="false" ht="15" hidden="false" customHeight="false" outlineLevel="0" collapsed="false">
      <c r="A62" s="7" t="s">
        <v>80</v>
      </c>
      <c r="B62" s="7" t="s">
        <v>26</v>
      </c>
      <c r="C62" s="7" t="s">
        <v>32</v>
      </c>
      <c r="D62" s="8" t="str">
        <f aca="false">IFERROR(INDEX(August!$G$5:$G$49,MATCH($A62&amp;"|"&amp;$C62,August!$J$5:$J$49,0)),"")</f>
        <v/>
      </c>
      <c r="E62" s="8" t="str">
        <f aca="false">IFERROR(INDEX(September!$G$5:$G$56,MATCH($A62&amp;"|"&amp;$C62,September!$J$5:$J$56,0)),"")</f>
        <v/>
      </c>
      <c r="F62" s="8" t="str">
        <f aca="false">IFERROR(INDEX(October!$G$5:$G$48,MATCH($A62&amp;"|"&amp;$C62,October!$J$5:$J$48,0)),"")</f>
        <v/>
      </c>
      <c r="G62" s="8" t="str">
        <f aca="false">IFERROR(INDEX(November!$G$5:$G$44,MATCH($A62&amp;"|"&amp;$C62,November!$J$5:$J$44,0)),"")</f>
        <v>one-off: 1 total</v>
      </c>
      <c r="H62" s="8" t="n">
        <f aca="false">IFERROR(INDEX(December!$G$5:$G$33,MATCH($A62&amp;"|"&amp;$C62,December!$J$5:$J$33,0)),"")</f>
        <v>1</v>
      </c>
      <c r="I62" s="9" t="n">
        <v>108</v>
      </c>
    </row>
    <row r="63" customFormat="false" ht="15" hidden="false" customHeight="false" outlineLevel="0" collapsed="false">
      <c r="A63" s="7" t="s">
        <v>81</v>
      </c>
      <c r="B63" s="7" t="s">
        <v>26</v>
      </c>
      <c r="C63" s="7" t="s">
        <v>27</v>
      </c>
      <c r="D63" s="8" t="str">
        <f aca="false">IFERROR(INDEX(August!$G$5:$G$49,MATCH($A63&amp;"|"&amp;$C63,August!$J$5:$J$49,0)),"")</f>
        <v>one-off: 1,000 total</v>
      </c>
      <c r="E63" s="8" t="str">
        <f aca="false">IFERROR(INDEX(September!$G$5:$G$56,MATCH($A63&amp;"|"&amp;$C63,September!$J$5:$J$56,0)),"")</f>
        <v/>
      </c>
      <c r="F63" s="8" t="str">
        <f aca="false">IFERROR(INDEX(October!$G$5:$G$48,MATCH($A63&amp;"|"&amp;$C63,October!$J$5:$J$48,0)),"")</f>
        <v/>
      </c>
      <c r="G63" s="8" t="str">
        <f aca="false">IFERROR(INDEX(November!$G$5:$G$44,MATCH($A63&amp;"|"&amp;$C63,November!$J$5:$J$44,0)),"")</f>
        <v/>
      </c>
      <c r="H63" s="8" t="str">
        <f aca="false">IFERROR(INDEX(December!$G$5:$G$33,MATCH($A63&amp;"|"&amp;$C63,December!$J$5:$J$33,0)),"")</f>
        <v/>
      </c>
      <c r="I63" s="9" t="n">
        <v>100</v>
      </c>
    </row>
    <row r="64" customFormat="false" ht="15" hidden="false" customHeight="false" outlineLevel="0" collapsed="false">
      <c r="A64" s="7" t="s">
        <v>82</v>
      </c>
      <c r="B64" s="7" t="s">
        <v>42</v>
      </c>
      <c r="C64" s="7" t="s">
        <v>45</v>
      </c>
      <c r="D64" s="8" t="str">
        <f aca="false">IFERROR(INDEX(August!$G$5:$G$49,MATCH($A64&amp;"|"&amp;$C64,August!$J$5:$J$49,0)),"")</f>
        <v/>
      </c>
      <c r="E64" s="8" t="str">
        <f aca="false">IFERROR(INDEX(September!$G$5:$G$56,MATCH($A64&amp;"|"&amp;$C64,September!$J$5:$J$56,0)),"")</f>
        <v/>
      </c>
      <c r="F64" s="8" t="str">
        <f aca="false">IFERROR(INDEX(October!$G$5:$G$48,MATCH($A64&amp;"|"&amp;$C64,October!$J$5:$J$48,0)),"")</f>
        <v/>
      </c>
      <c r="G64" s="8" t="n">
        <f aca="false">IFERROR(INDEX(November!$G$5:$G$44,MATCH($A64&amp;"|"&amp;$C64,November!$J$5:$J$44,0)),"")</f>
        <v>2</v>
      </c>
      <c r="H64" s="8" t="str">
        <f aca="false">IFERROR(INDEX(December!$G$5:$G$33,MATCH($A64&amp;"|"&amp;$C64,December!$J$5:$J$33,0)),"")</f>
        <v/>
      </c>
      <c r="I64" s="9" t="n">
        <v>90</v>
      </c>
    </row>
    <row r="65" customFormat="false" ht="15" hidden="false" customHeight="false" outlineLevel="0" collapsed="false">
      <c r="A65" s="7" t="s">
        <v>47</v>
      </c>
      <c r="B65" s="7" t="s">
        <v>42</v>
      </c>
      <c r="C65" s="7" t="s">
        <v>30</v>
      </c>
      <c r="D65" s="8" t="str">
        <f aca="false">IFERROR(INDEX(August!$G$5:$G$49,MATCH($A65&amp;"|"&amp;$C65,August!$J$5:$J$49,0)),"")</f>
        <v/>
      </c>
      <c r="E65" s="8" t="str">
        <f aca="false">IFERROR(INDEX(September!$G$5:$G$56,MATCH($A65&amp;"|"&amp;$C65,September!$J$5:$J$56,0)),"")</f>
        <v/>
      </c>
      <c r="F65" s="8" t="str">
        <f aca="false">IFERROR(INDEX(October!$G$5:$G$48,MATCH($A65&amp;"|"&amp;$C65,October!$J$5:$J$48,0)),"")</f>
        <v>one-off: 10 total</v>
      </c>
      <c r="G65" s="8" t="str">
        <f aca="false">IFERROR(INDEX(November!$G$5:$G$44,MATCH($A65&amp;"|"&amp;$C65,November!$J$5:$J$44,0)),"")</f>
        <v/>
      </c>
      <c r="H65" s="8" t="str">
        <f aca="false">IFERROR(INDEX(December!$G$5:$G$33,MATCH($A65&amp;"|"&amp;$C65,December!$J$5:$J$33,0)),"")</f>
        <v/>
      </c>
      <c r="I65" s="9" t="n">
        <v>80</v>
      </c>
    </row>
    <row r="66" customFormat="false" ht="15" hidden="false" customHeight="false" outlineLevel="0" collapsed="false">
      <c r="A66" s="7" t="s">
        <v>83</v>
      </c>
      <c r="B66" s="7" t="s">
        <v>42</v>
      </c>
      <c r="C66" s="7" t="s">
        <v>45</v>
      </c>
      <c r="D66" s="8" t="str">
        <f aca="false">IFERROR(INDEX(August!$G$5:$G$49,MATCH($A66&amp;"|"&amp;$C66,August!$J$5:$J$49,0)),"")</f>
        <v/>
      </c>
      <c r="E66" s="8" t="str">
        <f aca="false">IFERROR(INDEX(September!$G$5:$G$56,MATCH($A66&amp;"|"&amp;$C66,September!$J$5:$J$56,0)),"")</f>
        <v/>
      </c>
      <c r="F66" s="8" t="str">
        <f aca="false">IFERROR(INDEX(October!$G$5:$G$48,MATCH($A66&amp;"|"&amp;$C66,October!$J$5:$J$48,0)),"")</f>
        <v/>
      </c>
      <c r="G66" s="8" t="str">
        <f aca="false">IFERROR(INDEX(November!$G$5:$G$44,MATCH($A66&amp;"|"&amp;$C66,November!$J$5:$J$44,0)),"")</f>
        <v>one-off: 2 total</v>
      </c>
      <c r="H66" s="8" t="n">
        <f aca="false">IFERROR(INDEX(December!$G$5:$G$33,MATCH($A66&amp;"|"&amp;$C66,December!$J$5:$J$33,0)),"")</f>
        <v>3</v>
      </c>
      <c r="I66" s="9" t="n">
        <v>78</v>
      </c>
    </row>
    <row r="67" customFormat="false" ht="15" hidden="false" customHeight="false" outlineLevel="0" collapsed="false">
      <c r="A67" s="7" t="s">
        <v>84</v>
      </c>
      <c r="B67" s="7" t="s">
        <v>42</v>
      </c>
      <c r="C67" s="7" t="s">
        <v>32</v>
      </c>
      <c r="D67" s="8" t="str">
        <f aca="false">IFERROR(INDEX(August!$G$5:$G$49,MATCH($A67&amp;"|"&amp;$C67,August!$J$5:$J$49,0)),"")</f>
        <v/>
      </c>
      <c r="E67" s="8" t="str">
        <f aca="false">IFERROR(INDEX(September!$G$5:$G$56,MATCH($A67&amp;"|"&amp;$C67,September!$J$5:$J$56,0)),"")</f>
        <v/>
      </c>
      <c r="F67" s="8" t="str">
        <f aca="false">IFERROR(INDEX(October!$G$5:$G$48,MATCH($A67&amp;"|"&amp;$C67,October!$J$5:$J$48,0)),"")</f>
        <v/>
      </c>
      <c r="G67" s="8" t="str">
        <f aca="false">IFERROR(INDEX(November!$G$5:$G$44,MATCH($A67&amp;"|"&amp;$C67,November!$J$5:$J$44,0)),"")</f>
        <v/>
      </c>
      <c r="H67" s="8" t="str">
        <f aca="false">IFERROR(INDEX(December!$G$5:$G$33,MATCH($A67&amp;"|"&amp;$C67,December!$J$5:$J$33,0)),"")</f>
        <v>one-off: 5 total</v>
      </c>
      <c r="I67" s="9" t="n">
        <v>75</v>
      </c>
    </row>
    <row r="68" customFormat="false" ht="15" hidden="false" customHeight="false" outlineLevel="0" collapsed="false">
      <c r="A68" s="7" t="s">
        <v>85</v>
      </c>
      <c r="B68" s="7" t="s">
        <v>26</v>
      </c>
      <c r="C68" s="7" t="s">
        <v>40</v>
      </c>
      <c r="D68" s="8" t="str">
        <f aca="false">IFERROR(INDEX(August!$G$5:$G$49,MATCH($A68&amp;"|"&amp;$C68,August!$J$5:$J$49,0)),"")</f>
        <v/>
      </c>
      <c r="E68" s="8" t="str">
        <f aca="false">IFERROR(INDEX(September!$G$5:$G$56,MATCH($A68&amp;"|"&amp;$C68,September!$J$5:$J$56,0)),"")</f>
        <v>one-off: 3 total</v>
      </c>
      <c r="F68" s="8" t="str">
        <f aca="false">IFERROR(INDEX(October!$G$5:$G$48,MATCH($A68&amp;"|"&amp;$C68,October!$J$5:$J$48,0)),"")</f>
        <v/>
      </c>
      <c r="G68" s="8" t="str">
        <f aca="false">IFERROR(INDEX(November!$G$5:$G$44,MATCH($A68&amp;"|"&amp;$C68,November!$J$5:$J$44,0)),"")</f>
        <v/>
      </c>
      <c r="H68" s="8" t="str">
        <f aca="false">IFERROR(INDEX(December!$G$5:$G$33,MATCH($A68&amp;"|"&amp;$C68,December!$J$5:$J$33,0)),"")</f>
        <v/>
      </c>
      <c r="I68" s="9" t="n">
        <v>60</v>
      </c>
    </row>
    <row r="69" customFormat="false" ht="15" hidden="false" customHeight="false" outlineLevel="0" collapsed="false">
      <c r="A69" s="7" t="s">
        <v>86</v>
      </c>
      <c r="B69" s="7" t="s">
        <v>42</v>
      </c>
      <c r="C69" s="7" t="s">
        <v>32</v>
      </c>
      <c r="D69" s="8" t="str">
        <f aca="false">IFERROR(INDEX(August!$G$5:$G$49,MATCH($A69&amp;"|"&amp;$C69,August!$J$5:$J$49,0)),"")</f>
        <v/>
      </c>
      <c r="E69" s="8" t="str">
        <f aca="false">IFERROR(INDEX(September!$G$5:$G$56,MATCH($A69&amp;"|"&amp;$C69,September!$J$5:$J$56,0)),"")</f>
        <v/>
      </c>
      <c r="F69" s="8" t="str">
        <f aca="false">IFERROR(INDEX(October!$G$5:$G$48,MATCH($A69&amp;"|"&amp;$C69,October!$J$5:$J$48,0)),"")</f>
        <v/>
      </c>
      <c r="G69" s="8" t="n">
        <f aca="false">IFERROR(INDEX(November!$G$5:$G$44,MATCH($A69&amp;"|"&amp;$C69,November!$J$5:$J$44,0)),"")</f>
        <v>1</v>
      </c>
      <c r="H69" s="8" t="str">
        <f aca="false">IFERROR(INDEX(December!$G$5:$G$33,MATCH($A69&amp;"|"&amp;$C69,December!$J$5:$J$33,0)),"")</f>
        <v/>
      </c>
      <c r="I69" s="9" t="n">
        <v>60</v>
      </c>
    </row>
    <row r="70" customFormat="false" ht="15" hidden="false" customHeight="false" outlineLevel="0" collapsed="false">
      <c r="A70" s="7" t="s">
        <v>58</v>
      </c>
      <c r="B70" s="7" t="s">
        <v>26</v>
      </c>
      <c r="C70" s="7" t="s">
        <v>45</v>
      </c>
      <c r="D70" s="8" t="str">
        <f aca="false">IFERROR(INDEX(August!$G$5:$G$49,MATCH($A70&amp;"|"&amp;$C70,August!$J$5:$J$49,0)),"")</f>
        <v/>
      </c>
      <c r="E70" s="8" t="str">
        <f aca="false">IFERROR(INDEX(September!$G$5:$G$56,MATCH($A70&amp;"|"&amp;$C70,September!$J$5:$J$56,0)),"")</f>
        <v/>
      </c>
      <c r="F70" s="8" t="str">
        <f aca="false">IFERROR(INDEX(October!$G$5:$G$48,MATCH($A70&amp;"|"&amp;$C70,October!$J$5:$J$48,0)),"")</f>
        <v/>
      </c>
      <c r="G70" s="8" t="str">
        <f aca="false">IFERROR(INDEX(November!$G$5:$G$44,MATCH($A70&amp;"|"&amp;$C70,November!$J$5:$J$44,0)),"")</f>
        <v/>
      </c>
      <c r="H70" s="8" t="str">
        <f aca="false">IFERROR(INDEX(December!$G$5:$G$33,MATCH($A70&amp;"|"&amp;$C70,December!$J$5:$J$33,0)),"")</f>
        <v>one-off: 6 total</v>
      </c>
      <c r="I70" s="9" t="n">
        <v>60</v>
      </c>
    </row>
    <row r="71" customFormat="false" ht="15" hidden="false" customHeight="false" outlineLevel="0" collapsed="false">
      <c r="A71" s="7" t="s">
        <v>87</v>
      </c>
      <c r="B71" s="7" t="s">
        <v>29</v>
      </c>
      <c r="C71" s="7" t="s">
        <v>32</v>
      </c>
      <c r="D71" s="8" t="str">
        <f aca="false">IFERROR(INDEX(August!$G$5:$G$49,MATCH($A71&amp;"|"&amp;$C71,August!$J$5:$J$49,0)),"")</f>
        <v>one-off: 2 total</v>
      </c>
      <c r="E71" s="8" t="str">
        <f aca="false">IFERROR(INDEX(September!$G$5:$G$56,MATCH($A71&amp;"|"&amp;$C71,September!$J$5:$J$56,0)),"")</f>
        <v/>
      </c>
      <c r="F71" s="8" t="str">
        <f aca="false">IFERROR(INDEX(October!$G$5:$G$48,MATCH($A71&amp;"|"&amp;$C71,October!$J$5:$J$48,0)),"")</f>
        <v/>
      </c>
      <c r="G71" s="8" t="str">
        <f aca="false">IFERROR(INDEX(November!$G$5:$G$44,MATCH($A71&amp;"|"&amp;$C71,November!$J$5:$J$44,0)),"")</f>
        <v/>
      </c>
      <c r="H71" s="8" t="str">
        <f aca="false">IFERROR(INDEX(December!$G$5:$G$33,MATCH($A71&amp;"|"&amp;$C71,December!$J$5:$J$33,0)),"")</f>
        <v/>
      </c>
      <c r="I71" s="9" t="n">
        <v>48</v>
      </c>
    </row>
    <row r="72" customFormat="false" ht="15" hidden="false" customHeight="false" outlineLevel="0" collapsed="false">
      <c r="A72" s="7" t="s">
        <v>88</v>
      </c>
      <c r="B72" s="7" t="s">
        <v>26</v>
      </c>
      <c r="C72" s="7" t="s">
        <v>32</v>
      </c>
      <c r="D72" s="8" t="str">
        <f aca="false">IFERROR(INDEX(August!$G$5:$G$49,MATCH($A72&amp;"|"&amp;$C72,August!$J$5:$J$49,0)),"")</f>
        <v/>
      </c>
      <c r="E72" s="8" t="str">
        <f aca="false">IFERROR(INDEX(September!$G$5:$G$56,MATCH($A72&amp;"|"&amp;$C72,September!$J$5:$J$56,0)),"")</f>
        <v>one-off: 1 total</v>
      </c>
      <c r="F72" s="8" t="str">
        <f aca="false">IFERROR(INDEX(October!$G$5:$G$48,MATCH($A72&amp;"|"&amp;$C72,October!$J$5:$J$48,0)),"")</f>
        <v/>
      </c>
      <c r="G72" s="8" t="str">
        <f aca="false">IFERROR(INDEX(November!$G$5:$G$44,MATCH($A72&amp;"|"&amp;$C72,November!$J$5:$J$44,0)),"")</f>
        <v/>
      </c>
      <c r="H72" s="8" t="str">
        <f aca="false">IFERROR(INDEX(December!$G$5:$G$33,MATCH($A72&amp;"|"&amp;$C72,December!$J$5:$J$33,0)),"")</f>
        <v/>
      </c>
      <c r="I72" s="9" t="n">
        <v>40</v>
      </c>
    </row>
    <row r="73" customFormat="false" ht="15" hidden="false" customHeight="false" outlineLevel="0" collapsed="false">
      <c r="A73" s="7" t="s">
        <v>89</v>
      </c>
      <c r="B73" s="7" t="s">
        <v>26</v>
      </c>
      <c r="C73" s="7" t="s">
        <v>32</v>
      </c>
      <c r="D73" s="8" t="str">
        <f aca="false">IFERROR(INDEX(August!$G$5:$G$49,MATCH($A73&amp;"|"&amp;$C73,August!$J$5:$J$49,0)),"")</f>
        <v/>
      </c>
      <c r="E73" s="8" t="str">
        <f aca="false">IFERROR(INDEX(September!$G$5:$G$56,MATCH($A73&amp;"|"&amp;$C73,September!$J$5:$J$56,0)),"")</f>
        <v/>
      </c>
      <c r="F73" s="8" t="str">
        <f aca="false">IFERROR(INDEX(October!$G$5:$G$48,MATCH($A73&amp;"|"&amp;$C73,October!$J$5:$J$48,0)),"")</f>
        <v>one-off: 2 total</v>
      </c>
      <c r="G73" s="8" t="str">
        <f aca="false">IFERROR(INDEX(November!$G$5:$G$44,MATCH($A73&amp;"|"&amp;$C73,November!$J$5:$J$44,0)),"")</f>
        <v/>
      </c>
      <c r="H73" s="8" t="str">
        <f aca="false">IFERROR(INDEX(December!$G$5:$G$33,MATCH($A73&amp;"|"&amp;$C73,December!$J$5:$J$33,0)),"")</f>
        <v/>
      </c>
      <c r="I73" s="9" t="n">
        <v>39</v>
      </c>
    </row>
    <row r="74" customFormat="false" ht="15" hidden="false" customHeight="false" outlineLevel="0" collapsed="false">
      <c r="A74" s="7" t="s">
        <v>90</v>
      </c>
      <c r="B74" s="7" t="s">
        <v>29</v>
      </c>
      <c r="C74" s="7" t="s">
        <v>30</v>
      </c>
      <c r="D74" s="8" t="str">
        <f aca="false">IFERROR(INDEX(August!$G$5:$G$49,MATCH($A74&amp;"|"&amp;$C74,August!$J$5:$J$49,0)),"")</f>
        <v/>
      </c>
      <c r="E74" s="8" t="str">
        <f aca="false">IFERROR(INDEX(September!$G$5:$G$56,MATCH($A74&amp;"|"&amp;$C74,September!$J$5:$J$56,0)),"")</f>
        <v>one-off: 30 total</v>
      </c>
      <c r="F74" s="8" t="str">
        <f aca="false">IFERROR(INDEX(October!$G$5:$G$48,MATCH($A74&amp;"|"&amp;$C74,October!$J$5:$J$48,0)),"")</f>
        <v/>
      </c>
      <c r="G74" s="8" t="str">
        <f aca="false">IFERROR(INDEX(November!$G$5:$G$44,MATCH($A74&amp;"|"&amp;$C74,November!$J$5:$J$44,0)),"")</f>
        <v/>
      </c>
      <c r="H74" s="8" t="str">
        <f aca="false">IFERROR(INDEX(December!$G$5:$G$33,MATCH($A74&amp;"|"&amp;$C74,December!$J$5:$J$33,0)),"")</f>
        <v/>
      </c>
      <c r="I74" s="9" t="n">
        <v>38</v>
      </c>
    </row>
    <row r="75" customFormat="false" ht="15" hidden="false" customHeight="false" outlineLevel="0" collapsed="false">
      <c r="A75" s="7" t="s">
        <v>91</v>
      </c>
      <c r="B75" s="7" t="s">
        <v>42</v>
      </c>
      <c r="C75" s="7" t="s">
        <v>32</v>
      </c>
      <c r="D75" s="8" t="str">
        <f aca="false">IFERROR(INDEX(August!$G$5:$G$49,MATCH($A75&amp;"|"&amp;$C75,August!$J$5:$J$49,0)),"")</f>
        <v/>
      </c>
      <c r="E75" s="8" t="str">
        <f aca="false">IFERROR(INDEX(September!$G$5:$G$56,MATCH($A75&amp;"|"&amp;$C75,September!$J$5:$J$56,0)),"")</f>
        <v>one-off: 2 total</v>
      </c>
      <c r="F75" s="8" t="str">
        <f aca="false">IFERROR(INDEX(October!$G$5:$G$48,MATCH($A75&amp;"|"&amp;$C75,October!$J$5:$J$48,0)),"")</f>
        <v/>
      </c>
      <c r="G75" s="8" t="str">
        <f aca="false">IFERROR(INDEX(November!$G$5:$G$44,MATCH($A75&amp;"|"&amp;$C75,November!$J$5:$J$44,0)),"")</f>
        <v/>
      </c>
      <c r="H75" s="8" t="str">
        <f aca="false">IFERROR(INDEX(December!$G$5:$G$33,MATCH($A75&amp;"|"&amp;$C75,December!$J$5:$J$33,0)),"")</f>
        <v/>
      </c>
      <c r="I75" s="9" t="n">
        <v>24</v>
      </c>
    </row>
    <row r="76" customFormat="false" ht="15" hidden="false" customHeight="false" outlineLevel="0" collapsed="false">
      <c r="A76" s="7" t="s">
        <v>92</v>
      </c>
      <c r="B76" s="7" t="s">
        <v>26</v>
      </c>
      <c r="C76" s="7" t="s">
        <v>32</v>
      </c>
      <c r="D76" s="8" t="str">
        <f aca="false">IFERROR(INDEX(August!$G$5:$G$49,MATCH($A76&amp;"|"&amp;$C76,August!$J$5:$J$49,0)),"")</f>
        <v/>
      </c>
      <c r="E76" s="8" t="str">
        <f aca="false">IFERROR(INDEX(September!$G$5:$G$56,MATCH($A76&amp;"|"&amp;$C76,September!$J$5:$J$56,0)),"")</f>
        <v/>
      </c>
      <c r="F76" s="8" t="str">
        <f aca="false">IFERROR(INDEX(October!$G$5:$G$48,MATCH($A76&amp;"|"&amp;$C76,October!$J$5:$J$48,0)),"")</f>
        <v/>
      </c>
      <c r="G76" s="8" t="str">
        <f aca="false">IFERROR(INDEX(November!$G$5:$G$44,MATCH($A76&amp;"|"&amp;$C76,November!$J$5:$J$44,0)),"")</f>
        <v>one-off: 1 total</v>
      </c>
      <c r="H76" s="8" t="str">
        <f aca="false">IFERROR(INDEX(December!$G$5:$G$33,MATCH($A76&amp;"|"&amp;$C76,December!$J$5:$J$33,0)),"")</f>
        <v>one-off: 1 total</v>
      </c>
      <c r="I76" s="9" t="n">
        <v>24</v>
      </c>
    </row>
    <row r="77" customFormat="false" ht="15" hidden="false" customHeight="false" outlineLevel="0" collapsed="false">
      <c r="A77" s="7" t="s">
        <v>93</v>
      </c>
      <c r="B77" s="7" t="s">
        <v>26</v>
      </c>
      <c r="C77" s="7" t="s">
        <v>32</v>
      </c>
      <c r="D77" s="8" t="str">
        <f aca="false">IFERROR(INDEX(August!$G$5:$G$49,MATCH($A77&amp;"|"&amp;$C77,August!$J$5:$J$49,0)),"")</f>
        <v/>
      </c>
      <c r="E77" s="8" t="str">
        <f aca="false">IFERROR(INDEX(September!$G$5:$G$56,MATCH($A77&amp;"|"&amp;$C77,September!$J$5:$J$56,0)),"")</f>
        <v/>
      </c>
      <c r="F77" s="8" t="str">
        <f aca="false">IFERROR(INDEX(October!$G$5:$G$48,MATCH($A77&amp;"|"&amp;$C77,October!$J$5:$J$48,0)),"")</f>
        <v>one-off: 1 total</v>
      </c>
      <c r="G77" s="8" t="str">
        <f aca="false">IFERROR(INDEX(November!$G$5:$G$44,MATCH($A77&amp;"|"&amp;$C77,November!$J$5:$J$44,0)),"")</f>
        <v/>
      </c>
      <c r="H77" s="8" t="str">
        <f aca="false">IFERROR(INDEX(December!$G$5:$G$33,MATCH($A77&amp;"|"&amp;$C77,December!$J$5:$J$33,0)),"")</f>
        <v/>
      </c>
      <c r="I77" s="9" t="n">
        <v>20</v>
      </c>
    </row>
    <row r="78" customFormat="false" ht="15" hidden="false" customHeight="false" outlineLevel="0" collapsed="false">
      <c r="A78" s="7" t="s">
        <v>94</v>
      </c>
      <c r="B78" s="7" t="s">
        <v>26</v>
      </c>
      <c r="C78" s="7" t="s">
        <v>32</v>
      </c>
      <c r="D78" s="8" t="str">
        <f aca="false">IFERROR(INDEX(August!$G$5:$G$49,MATCH($A78&amp;"|"&amp;$C78,August!$J$5:$J$49,0)),"")</f>
        <v/>
      </c>
      <c r="E78" s="8" t="str">
        <f aca="false">IFERROR(INDEX(September!$G$5:$G$56,MATCH($A78&amp;"|"&amp;$C78,September!$J$5:$J$56,0)),"")</f>
        <v>one-off: 1 total</v>
      </c>
      <c r="F78" s="8" t="str">
        <f aca="false">IFERROR(INDEX(October!$G$5:$G$48,MATCH($A78&amp;"|"&amp;$C78,October!$J$5:$J$48,0)),"")</f>
        <v/>
      </c>
      <c r="G78" s="8" t="str">
        <f aca="false">IFERROR(INDEX(November!$G$5:$G$44,MATCH($A78&amp;"|"&amp;$C78,November!$J$5:$J$44,0)),"")</f>
        <v/>
      </c>
      <c r="H78" s="8" t="str">
        <f aca="false">IFERROR(INDEX(December!$G$5:$G$33,MATCH($A78&amp;"|"&amp;$C78,December!$J$5:$J$33,0)),"")</f>
        <v/>
      </c>
      <c r="I78" s="9" t="n">
        <v>12</v>
      </c>
    </row>
    <row r="79" customFormat="false" ht="15" hidden="false" customHeight="false" outlineLevel="0" collapsed="false">
      <c r="A79" s="7" t="s">
        <v>95</v>
      </c>
      <c r="B79" s="7" t="s">
        <v>26</v>
      </c>
      <c r="C79" s="7" t="s">
        <v>32</v>
      </c>
      <c r="D79" s="8" t="str">
        <f aca="false">IFERROR(INDEX(August!$G$5:$G$49,MATCH($A79&amp;"|"&amp;$C79,August!$J$5:$J$49,0)),"")</f>
        <v/>
      </c>
      <c r="E79" s="8" t="str">
        <f aca="false">IFERROR(INDEX(September!$G$5:$G$56,MATCH($A79&amp;"|"&amp;$C79,September!$J$5:$J$56,0)),"")</f>
        <v/>
      </c>
      <c r="F79" s="8" t="str">
        <f aca="false">IFERROR(INDEX(October!$G$5:$G$48,MATCH($A79&amp;"|"&amp;$C79,October!$J$5:$J$48,0)),"")</f>
        <v>one-off: 1 total</v>
      </c>
      <c r="G79" s="8" t="str">
        <f aca="false">IFERROR(INDEX(November!$G$5:$G$44,MATCH($A79&amp;"|"&amp;$C79,November!$J$5:$J$44,0)),"")</f>
        <v/>
      </c>
      <c r="H79" s="8" t="str">
        <f aca="false">IFERROR(INDEX(December!$G$5:$G$33,MATCH($A79&amp;"|"&amp;$C79,December!$J$5:$J$33,0)),"")</f>
        <v/>
      </c>
      <c r="I79" s="9" t="n">
        <v>12</v>
      </c>
    </row>
    <row r="80" customFormat="false" ht="15" hidden="false" customHeight="false" outlineLevel="0" collapsed="false">
      <c r="A80" s="7" t="s">
        <v>96</v>
      </c>
      <c r="B80" s="7" t="s">
        <v>29</v>
      </c>
      <c r="C80" s="7" t="s">
        <v>27</v>
      </c>
      <c r="D80" s="8" t="str">
        <f aca="false">IFERROR(INDEX(August!$G$5:$G$49,MATCH($A80&amp;"|"&amp;$C80,August!$J$5:$J$49,0)),"")</f>
        <v>one-off: 8 total</v>
      </c>
      <c r="E80" s="8" t="str">
        <f aca="false">IFERROR(INDEX(September!$G$5:$G$56,MATCH($A80&amp;"|"&amp;$C80,September!$J$5:$J$56,0)),"")</f>
        <v/>
      </c>
      <c r="F80" s="8" t="str">
        <f aca="false">IFERROR(INDEX(October!$G$5:$G$48,MATCH($A80&amp;"|"&amp;$C80,October!$J$5:$J$48,0)),"")</f>
        <v/>
      </c>
      <c r="G80" s="8" t="str">
        <f aca="false">IFERROR(INDEX(November!$G$5:$G$44,MATCH($A80&amp;"|"&amp;$C80,November!$J$5:$J$44,0)),"")</f>
        <v/>
      </c>
      <c r="H80" s="8" t="str">
        <f aca="false">IFERROR(INDEX(December!$G$5:$G$33,MATCH($A80&amp;"|"&amp;$C80,December!$J$5:$J$33,0)),"")</f>
        <v/>
      </c>
      <c r="I80" s="9" t="n">
        <v>11</v>
      </c>
    </row>
    <row r="81" customFormat="false" ht="15" hidden="false" customHeight="false" outlineLevel="0" collapsed="false">
      <c r="A81" s="7" t="s">
        <v>86</v>
      </c>
      <c r="B81" s="7" t="s">
        <v>42</v>
      </c>
      <c r="C81" s="7" t="s">
        <v>45</v>
      </c>
      <c r="D81" s="8" t="str">
        <f aca="false">IFERROR(INDEX(August!$G$5:$G$49,MATCH($A81&amp;"|"&amp;$C81,August!$J$5:$J$49,0)),"")</f>
        <v/>
      </c>
      <c r="E81" s="8" t="str">
        <f aca="false">IFERROR(INDEX(September!$G$5:$G$56,MATCH($A81&amp;"|"&amp;$C81,September!$J$5:$J$56,0)),"")</f>
        <v/>
      </c>
      <c r="F81" s="8" t="str">
        <f aca="false">IFERROR(INDEX(October!$G$5:$G$48,MATCH($A81&amp;"|"&amp;$C81,October!$J$5:$J$48,0)),"")</f>
        <v/>
      </c>
      <c r="G81" s="8" t="str">
        <f aca="false">IFERROR(INDEX(November!$G$5:$G$44,MATCH($A81&amp;"|"&amp;$C81,November!$J$5:$J$44,0)),"")</f>
        <v>one-off: 1 total</v>
      </c>
      <c r="H81" s="8" t="str">
        <f aca="false">IFERROR(INDEX(December!$G$5:$G$33,MATCH($A81&amp;"|"&amp;$C81,December!$J$5:$J$33,0)),"")</f>
        <v/>
      </c>
      <c r="I81" s="9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true" outlineLevel="0" max="10" min="10" style="0" width="4"/>
  </cols>
  <sheetData>
    <row r="1" customFormat="false" ht="17.35" hidden="false" customHeight="false" outlineLevel="0" collapsed="false">
      <c r="A1" s="4" t="s">
        <v>97</v>
      </c>
    </row>
    <row r="2" customFormat="false" ht="15" hidden="false" customHeight="false" outlineLevel="0" collapsed="false">
      <c r="A2" s="5" t="s">
        <v>98</v>
      </c>
      <c r="E2" s="10" t="n">
        <v>4</v>
      </c>
    </row>
    <row r="4" customFormat="false" ht="15" hidden="false" customHeight="false" outlineLevel="0" collapsed="false">
      <c r="A4" s="11" t="s">
        <v>16</v>
      </c>
      <c r="B4" s="11" t="s">
        <v>17</v>
      </c>
      <c r="C4" s="11" t="s">
        <v>18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</row>
    <row r="5" customFormat="false" ht="15" hidden="false" customHeight="false" outlineLevel="0" collapsed="false">
      <c r="A5" s="12" t="s">
        <v>106</v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7" t="s">
        <v>34</v>
      </c>
      <c r="B6" s="7" t="s">
        <v>29</v>
      </c>
      <c r="C6" s="7" t="s">
        <v>30</v>
      </c>
      <c r="D6" s="14" t="n">
        <v>290</v>
      </c>
      <c r="E6" s="15" t="n">
        <v>4</v>
      </c>
      <c r="F6" s="16" t="n">
        <f aca="false">ROUND(D6/$E$2,1)</f>
        <v>72.5</v>
      </c>
      <c r="G6" s="17" t="n">
        <f aca="false">IF(E6&gt;=2,CEILING(D6/$E$2,1),"one-off: "&amp;TEXT(D6,"#,##0")&amp;" total")</f>
        <v>73</v>
      </c>
      <c r="H6" s="9" t="n">
        <v>1395</v>
      </c>
      <c r="I6" s="9" t="n">
        <f aca="false">ROUND(H6/$E$2,0)</f>
        <v>349</v>
      </c>
      <c r="J6" s="5" t="str">
        <f aca="false">A6&amp;"|"&amp;C6</f>
        <v>Tomatoes|lbs</v>
      </c>
    </row>
    <row r="7" customFormat="false" ht="15" hidden="false" customHeight="false" outlineLevel="0" collapsed="false">
      <c r="A7" s="7" t="s">
        <v>31</v>
      </c>
      <c r="B7" s="7" t="s">
        <v>26</v>
      </c>
      <c r="C7" s="7" t="s">
        <v>32</v>
      </c>
      <c r="D7" s="14" t="n">
        <v>67</v>
      </c>
      <c r="E7" s="15" t="n">
        <v>4</v>
      </c>
      <c r="F7" s="16" t="n">
        <f aca="false">ROUND(D7/$E$2,1)</f>
        <v>16.8</v>
      </c>
      <c r="G7" s="17" t="n">
        <f aca="false">IF(E7&gt;=2,CEILING(D7/$E$2,1),"one-off: "&amp;TEXT(D7,"#,##0")&amp;" total")</f>
        <v>17</v>
      </c>
      <c r="H7" s="9" t="n">
        <v>1356</v>
      </c>
      <c r="I7" s="9" t="n">
        <f aca="false">ROUND(H7/$E$2,0)</f>
        <v>339</v>
      </c>
      <c r="J7" s="5" t="str">
        <f aca="false">A7&amp;"|"&amp;C7</f>
        <v>Basil|LG</v>
      </c>
    </row>
    <row r="8" customFormat="false" ht="15" hidden="false" customHeight="false" outlineLevel="0" collapsed="false">
      <c r="A8" s="7" t="s">
        <v>25</v>
      </c>
      <c r="B8" s="7" t="s">
        <v>26</v>
      </c>
      <c r="C8" s="7" t="s">
        <v>27</v>
      </c>
      <c r="D8" s="14" t="n">
        <v>3670</v>
      </c>
      <c r="E8" s="15" t="n">
        <v>4</v>
      </c>
      <c r="F8" s="16" t="n">
        <f aca="false">ROUND(D8/$E$2,1)</f>
        <v>917.5</v>
      </c>
      <c r="G8" s="17" t="n">
        <f aca="false">IF(E8&gt;=2,CEILING(D8/$E$2,1),"one-off: "&amp;TEXT(D8,"#,##0")&amp;" total")</f>
        <v>918</v>
      </c>
      <c r="H8" s="9" t="n">
        <v>1285</v>
      </c>
      <c r="I8" s="9" t="n">
        <f aca="false">ROUND(H8/$E$2,0)</f>
        <v>321</v>
      </c>
      <c r="J8" s="5" t="str">
        <f aca="false">A8&amp;"|"&amp;C8</f>
        <v>Nasturtium|each</v>
      </c>
    </row>
    <row r="9" customFormat="false" ht="15" hidden="false" customHeight="false" outlineLevel="0" collapsed="false">
      <c r="A9" s="7" t="s">
        <v>48</v>
      </c>
      <c r="B9" s="7" t="s">
        <v>26</v>
      </c>
      <c r="C9" s="7" t="s">
        <v>32</v>
      </c>
      <c r="D9" s="14" t="n">
        <v>66</v>
      </c>
      <c r="E9" s="15" t="n">
        <v>3</v>
      </c>
      <c r="F9" s="16" t="n">
        <f aca="false">ROUND(D9/$E$2,1)</f>
        <v>16.5</v>
      </c>
      <c r="G9" s="17" t="n">
        <f aca="false">IF(E9&gt;=2,CEILING(D9/$E$2,1),"one-off: "&amp;TEXT(D9,"#,##0")&amp;" total")</f>
        <v>17</v>
      </c>
      <c r="H9" s="9" t="n">
        <v>990</v>
      </c>
      <c r="I9" s="9" t="n">
        <f aca="false">ROUND(H9/$E$2,0)</f>
        <v>248</v>
      </c>
      <c r="J9" s="5" t="str">
        <f aca="false">A9&amp;"|"&amp;C9</f>
        <v>Cucumber Leaf (1 in)|LG</v>
      </c>
    </row>
    <row r="10" customFormat="false" ht="15" hidden="false" customHeight="false" outlineLevel="0" collapsed="false">
      <c r="A10" s="7" t="s">
        <v>39</v>
      </c>
      <c r="B10" s="7" t="s">
        <v>26</v>
      </c>
      <c r="C10" s="7" t="s">
        <v>40</v>
      </c>
      <c r="D10" s="14" t="n">
        <v>13</v>
      </c>
      <c r="E10" s="15" t="n">
        <v>3</v>
      </c>
      <c r="F10" s="16" t="n">
        <f aca="false">ROUND(D10/$E$2,1)</f>
        <v>3.3</v>
      </c>
      <c r="G10" s="17" t="n">
        <f aca="false">IF(E10&gt;=2,CEILING(D10/$E$2,1),"one-off: "&amp;TEXT(D10,"#,##0")&amp;" total")</f>
        <v>4</v>
      </c>
      <c r="H10" s="9" t="n">
        <v>624</v>
      </c>
      <c r="I10" s="9" t="n">
        <f aca="false">ROUND(H10/$E$2,0)</f>
        <v>156</v>
      </c>
      <c r="J10" s="5" t="str">
        <f aca="false">A10&amp;"|"&amp;C10</f>
        <v>Squash|box</v>
      </c>
    </row>
    <row r="11" customFormat="false" ht="15" hidden="false" customHeight="false" outlineLevel="0" collapsed="false">
      <c r="A11" s="7" t="s">
        <v>39</v>
      </c>
      <c r="B11" s="7" t="s">
        <v>26</v>
      </c>
      <c r="C11" s="7" t="s">
        <v>32</v>
      </c>
      <c r="D11" s="14" t="n">
        <v>26</v>
      </c>
      <c r="E11" s="15" t="n">
        <v>3</v>
      </c>
      <c r="F11" s="16" t="n">
        <f aca="false">ROUND(D11/$E$2,1)</f>
        <v>6.5</v>
      </c>
      <c r="G11" s="17" t="n">
        <f aca="false">IF(E11&gt;=2,CEILING(D11/$E$2,1),"one-off: "&amp;TEXT(D11,"#,##0")&amp;" total")</f>
        <v>7</v>
      </c>
      <c r="H11" s="9" t="n">
        <v>590</v>
      </c>
      <c r="I11" s="9" t="n">
        <f aca="false">ROUND(H11/$E$2,0)</f>
        <v>148</v>
      </c>
      <c r="J11" s="5" t="str">
        <f aca="false">A11&amp;"|"&amp;C11</f>
        <v>Squash|LG</v>
      </c>
    </row>
    <row r="12" customFormat="false" ht="15" hidden="false" customHeight="false" outlineLevel="0" collapsed="false">
      <c r="A12" s="7" t="s">
        <v>35</v>
      </c>
      <c r="B12" s="7" t="s">
        <v>36</v>
      </c>
      <c r="C12" s="7" t="s">
        <v>32</v>
      </c>
      <c r="D12" s="14" t="n">
        <v>35</v>
      </c>
      <c r="E12" s="15" t="n">
        <v>4</v>
      </c>
      <c r="F12" s="16" t="n">
        <f aca="false">ROUND(D12/$E$2,1)</f>
        <v>8.8</v>
      </c>
      <c r="G12" s="17" t="n">
        <f aca="false">IF(E12&gt;=2,CEILING(D12/$E$2,1),"one-off: "&amp;TEXT(D12,"#,##0")&amp;" total")</f>
        <v>9</v>
      </c>
      <c r="H12" s="9" t="n">
        <v>525</v>
      </c>
      <c r="I12" s="9" t="n">
        <f aca="false">ROUND(H12/$E$2,0)</f>
        <v>131</v>
      </c>
      <c r="J12" s="5" t="str">
        <f aca="false">A12&amp;"|"&amp;C12</f>
        <v>Anise Hyssop|LG</v>
      </c>
    </row>
    <row r="13" customFormat="false" ht="15" hidden="false" customHeight="false" outlineLevel="0" collapsed="false">
      <c r="A13" s="7" t="s">
        <v>44</v>
      </c>
      <c r="B13" s="7" t="s">
        <v>42</v>
      </c>
      <c r="C13" s="7" t="s">
        <v>45</v>
      </c>
      <c r="D13" s="14" t="n">
        <v>42</v>
      </c>
      <c r="E13" s="15" t="n">
        <v>4</v>
      </c>
      <c r="F13" s="16" t="n">
        <f aca="false">ROUND(D13/$E$2,1)</f>
        <v>10.5</v>
      </c>
      <c r="G13" s="17" t="n">
        <f aca="false">IF(E13&gt;=2,CEILING(D13/$E$2,1),"one-off: "&amp;TEXT(D13,"#,##0")&amp;" total")</f>
        <v>11</v>
      </c>
      <c r="H13" s="9" t="n">
        <v>509</v>
      </c>
      <c r="I13" s="9" t="n">
        <f aca="false">ROUND(H13/$E$2,0)</f>
        <v>127</v>
      </c>
      <c r="J13" s="5" t="str">
        <f aca="false">A13&amp;"|"&amp;C13</f>
        <v>Marigold|SM</v>
      </c>
    </row>
    <row r="14" customFormat="false" ht="15" hidden="false" customHeight="false" outlineLevel="0" collapsed="false">
      <c r="A14" s="7" t="s">
        <v>50</v>
      </c>
      <c r="B14" s="7" t="s">
        <v>29</v>
      </c>
      <c r="C14" s="7" t="s">
        <v>30</v>
      </c>
      <c r="D14" s="14" t="n">
        <v>115</v>
      </c>
      <c r="E14" s="15" t="n">
        <v>3</v>
      </c>
      <c r="F14" s="16" t="n">
        <f aca="false">ROUND(D14/$E$2,1)</f>
        <v>28.8</v>
      </c>
      <c r="G14" s="17" t="n">
        <f aca="false">IF(E14&gt;=2,CEILING(D14/$E$2,1),"one-off: "&amp;TEXT(D14,"#,##0")&amp;" total")</f>
        <v>29</v>
      </c>
      <c r="H14" s="9" t="n">
        <v>460</v>
      </c>
      <c r="I14" s="9" t="n">
        <f aca="false">ROUND(H14/$E$2,0)</f>
        <v>115</v>
      </c>
      <c r="J14" s="5" t="str">
        <f aca="false">A14&amp;"|"&amp;C14</f>
        <v>Passionfruit|lbs</v>
      </c>
    </row>
    <row r="15" customFormat="false" ht="15" hidden="false" customHeight="false" outlineLevel="0" collapsed="false">
      <c r="A15" s="7" t="s">
        <v>31</v>
      </c>
      <c r="B15" s="7" t="s">
        <v>26</v>
      </c>
      <c r="C15" s="7" t="s">
        <v>45</v>
      </c>
      <c r="D15" s="14" t="n">
        <v>33</v>
      </c>
      <c r="E15" s="15" t="n">
        <v>3</v>
      </c>
      <c r="F15" s="16" t="n">
        <f aca="false">ROUND(D15/$E$2,1)</f>
        <v>8.3</v>
      </c>
      <c r="G15" s="17" t="n">
        <f aca="false">IF(E15&gt;=2,CEILING(D15/$E$2,1),"one-off: "&amp;TEXT(D15,"#,##0")&amp;" total")</f>
        <v>9</v>
      </c>
      <c r="H15" s="9" t="n">
        <v>396</v>
      </c>
      <c r="I15" s="9" t="n">
        <f aca="false">ROUND(H15/$E$2,0)</f>
        <v>99</v>
      </c>
      <c r="J15" s="5" t="str">
        <f aca="false">A15&amp;"|"&amp;C15</f>
        <v>Basil|SM</v>
      </c>
    </row>
    <row r="16" customFormat="false" ht="15" hidden="false" customHeight="false" outlineLevel="0" collapsed="false">
      <c r="A16" s="7" t="s">
        <v>58</v>
      </c>
      <c r="B16" s="7" t="s">
        <v>26</v>
      </c>
      <c r="C16" s="7" t="s">
        <v>32</v>
      </c>
      <c r="D16" s="14" t="n">
        <v>25</v>
      </c>
      <c r="E16" s="15" t="n">
        <v>3</v>
      </c>
      <c r="F16" s="16" t="n">
        <f aca="false">ROUND(D16/$E$2,1)</f>
        <v>6.3</v>
      </c>
      <c r="G16" s="17" t="n">
        <f aca="false">IF(E16&gt;=2,CEILING(D16/$E$2,1),"one-off: "&amp;TEXT(D16,"#,##0")&amp;" total")</f>
        <v>7</v>
      </c>
      <c r="H16" s="9" t="n">
        <v>305</v>
      </c>
      <c r="I16" s="9" t="n">
        <f aca="false">ROUND(H16/$E$2,0)</f>
        <v>76</v>
      </c>
      <c r="J16" s="5" t="str">
        <f aca="false">A16&amp;"|"&amp;C16</f>
        <v>Mint|LG</v>
      </c>
    </row>
    <row r="17" customFormat="false" ht="15" hidden="false" customHeight="false" outlineLevel="0" collapsed="false">
      <c r="A17" s="7" t="s">
        <v>52</v>
      </c>
      <c r="B17" s="7" t="s">
        <v>42</v>
      </c>
      <c r="C17" s="7" t="s">
        <v>45</v>
      </c>
      <c r="D17" s="14" t="n">
        <v>23</v>
      </c>
      <c r="E17" s="15" t="n">
        <v>4</v>
      </c>
      <c r="F17" s="16" t="n">
        <f aca="false">ROUND(D17/$E$2,1)</f>
        <v>5.8</v>
      </c>
      <c r="G17" s="17" t="n">
        <f aca="false">IF(E17&gt;=2,CEILING(D17/$E$2,1),"one-off: "&amp;TEXT(D17,"#,##0")&amp;" total")</f>
        <v>6</v>
      </c>
      <c r="H17" s="9" t="n">
        <v>276</v>
      </c>
      <c r="I17" s="9" t="n">
        <f aca="false">ROUND(H17/$E$2,0)</f>
        <v>69</v>
      </c>
      <c r="J17" s="5" t="str">
        <f aca="false">A17&amp;"|"&amp;C17</f>
        <v>Egyptian Starflower|SM</v>
      </c>
    </row>
    <row r="18" customFormat="false" ht="15" hidden="false" customHeight="false" outlineLevel="0" collapsed="false">
      <c r="A18" s="7" t="s">
        <v>55</v>
      </c>
      <c r="B18" s="7" t="s">
        <v>42</v>
      </c>
      <c r="C18" s="7" t="s">
        <v>32</v>
      </c>
      <c r="D18" s="14" t="n">
        <v>17</v>
      </c>
      <c r="E18" s="15" t="n">
        <v>3</v>
      </c>
      <c r="F18" s="16" t="n">
        <f aca="false">ROUND(D18/$E$2,1)</f>
        <v>4.3</v>
      </c>
      <c r="G18" s="17" t="n">
        <f aca="false">IF(E18&gt;=2,CEILING(D18/$E$2,1),"one-off: "&amp;TEXT(D18,"#,##0")&amp;" total")</f>
        <v>5</v>
      </c>
      <c r="H18" s="9" t="n">
        <v>255</v>
      </c>
      <c r="I18" s="9" t="n">
        <f aca="false">ROUND(H18/$E$2,0)</f>
        <v>64</v>
      </c>
      <c r="J18" s="5" t="str">
        <f aca="false">A18&amp;"|"&amp;C18</f>
        <v>Zinnias|LG</v>
      </c>
    </row>
    <row r="19" customFormat="false" ht="15" hidden="false" customHeight="false" outlineLevel="0" collapsed="false">
      <c r="A19" s="7" t="s">
        <v>53</v>
      </c>
      <c r="B19" s="7" t="s">
        <v>29</v>
      </c>
      <c r="C19" s="7" t="s">
        <v>45</v>
      </c>
      <c r="D19" s="14" t="n">
        <v>17</v>
      </c>
      <c r="E19" s="15" t="n">
        <v>3</v>
      </c>
      <c r="F19" s="16" t="n">
        <f aca="false">ROUND(D19/$E$2,1)</f>
        <v>4.3</v>
      </c>
      <c r="G19" s="17" t="n">
        <f aca="false">IF(E19&gt;=2,CEILING(D19/$E$2,1),"one-off: "&amp;TEXT(D19,"#,##0")&amp;" total")</f>
        <v>5</v>
      </c>
      <c r="H19" s="9" t="n">
        <v>255</v>
      </c>
      <c r="I19" s="9" t="n">
        <f aca="false">ROUND(H19/$E$2,0)</f>
        <v>64</v>
      </c>
      <c r="J19" s="5" t="str">
        <f aca="false">A19&amp;"|"&amp;C19</f>
        <v>Beans|SM</v>
      </c>
    </row>
    <row r="20" customFormat="false" ht="15" hidden="false" customHeight="false" outlineLevel="0" collapsed="false">
      <c r="A20" s="7" t="s">
        <v>62</v>
      </c>
      <c r="B20" s="7" t="s">
        <v>29</v>
      </c>
      <c r="C20" s="7" t="s">
        <v>27</v>
      </c>
      <c r="D20" s="14" t="n">
        <v>66</v>
      </c>
      <c r="E20" s="15" t="n">
        <v>3</v>
      </c>
      <c r="F20" s="16" t="n">
        <f aca="false">ROUND(D20/$E$2,1)</f>
        <v>16.5</v>
      </c>
      <c r="G20" s="17" t="n">
        <f aca="false">IF(E20&gt;=2,CEILING(D20/$E$2,1),"one-off: "&amp;TEXT(D20,"#,##0")&amp;" total")</f>
        <v>17</v>
      </c>
      <c r="H20" s="9" t="n">
        <v>198</v>
      </c>
      <c r="I20" s="9" t="n">
        <f aca="false">ROUND(H20/$E$2,0)</f>
        <v>50</v>
      </c>
      <c r="J20" s="5" t="str">
        <f aca="false">A20&amp;"|"&amp;C20</f>
        <v>Eggplant|each</v>
      </c>
    </row>
    <row r="21" customFormat="false" ht="15" hidden="false" customHeight="false" outlineLevel="0" collapsed="false">
      <c r="A21" s="7" t="s">
        <v>64</v>
      </c>
      <c r="B21" s="7" t="s">
        <v>36</v>
      </c>
      <c r="C21" s="7" t="s">
        <v>32</v>
      </c>
      <c r="D21" s="14" t="n">
        <v>12</v>
      </c>
      <c r="E21" s="15" t="n">
        <v>3</v>
      </c>
      <c r="F21" s="16" t="n">
        <f aca="false">ROUND(D21/$E$2,1)</f>
        <v>3</v>
      </c>
      <c r="G21" s="17" t="n">
        <f aca="false">IF(E21&gt;=2,CEILING(D21/$E$2,1),"one-off: "&amp;TEXT(D21,"#,##0")&amp;" total")</f>
        <v>3</v>
      </c>
      <c r="H21" s="9" t="n">
        <v>180</v>
      </c>
      <c r="I21" s="9" t="n">
        <f aca="false">ROUND(H21/$E$2,0)</f>
        <v>45</v>
      </c>
      <c r="J21" s="5" t="str">
        <f aca="false">A21&amp;"|"&amp;C21</f>
        <v>Amaranth|LG</v>
      </c>
    </row>
    <row r="22" customFormat="false" ht="15" hidden="false" customHeight="false" outlineLevel="0" collapsed="false">
      <c r="A22" s="7" t="s">
        <v>63</v>
      </c>
      <c r="B22" s="7" t="s">
        <v>36</v>
      </c>
      <c r="C22" s="7" t="s">
        <v>32</v>
      </c>
      <c r="D22" s="14" t="n">
        <v>13</v>
      </c>
      <c r="E22" s="15" t="n">
        <v>4</v>
      </c>
      <c r="F22" s="16" t="n">
        <f aca="false">ROUND(D22/$E$2,1)</f>
        <v>3.3</v>
      </c>
      <c r="G22" s="17" t="n">
        <f aca="false">IF(E22&gt;=2,CEILING(D22/$E$2,1),"one-off: "&amp;TEXT(D22,"#,##0")&amp;" total")</f>
        <v>4</v>
      </c>
      <c r="H22" s="9" t="n">
        <v>165</v>
      </c>
      <c r="I22" s="9" t="n">
        <f aca="false">ROUND(H22/$E$2,0)</f>
        <v>41</v>
      </c>
      <c r="J22" s="5" t="str">
        <f aca="false">A22&amp;"|"&amp;C22</f>
        <v>Fennel|LG</v>
      </c>
    </row>
    <row r="23" customFormat="false" ht="15" hidden="false" customHeight="false" outlineLevel="0" collapsed="false">
      <c r="A23" s="7" t="s">
        <v>61</v>
      </c>
      <c r="B23" s="7" t="s">
        <v>42</v>
      </c>
      <c r="C23" s="7" t="s">
        <v>32</v>
      </c>
      <c r="D23" s="14" t="n">
        <v>8</v>
      </c>
      <c r="E23" s="15" t="n">
        <v>4</v>
      </c>
      <c r="F23" s="16" t="n">
        <f aca="false">ROUND(D23/$E$2,1)</f>
        <v>2</v>
      </c>
      <c r="G23" s="17" t="n">
        <f aca="false">IF(E23&gt;=2,CEILING(D23/$E$2,1),"one-off: "&amp;TEXT(D23,"#,##0")&amp;" total")</f>
        <v>2</v>
      </c>
      <c r="H23" s="9" t="n">
        <v>160</v>
      </c>
      <c r="I23" s="9" t="n">
        <f aca="false">ROUND(H23/$E$2,0)</f>
        <v>40</v>
      </c>
      <c r="J23" s="5" t="str">
        <f aca="false">A23&amp;"|"&amp;C23</f>
        <v>Society Garlic|LG</v>
      </c>
    </row>
    <row r="24" customFormat="false" ht="15" hidden="false" customHeight="false" outlineLevel="0" collapsed="false">
      <c r="A24" s="7" t="s">
        <v>49</v>
      </c>
      <c r="B24" s="7" t="s">
        <v>42</v>
      </c>
      <c r="C24" s="7" t="s">
        <v>45</v>
      </c>
      <c r="D24" s="14" t="n">
        <v>12</v>
      </c>
      <c r="E24" s="15" t="n">
        <v>4</v>
      </c>
      <c r="F24" s="16" t="n">
        <f aca="false">ROUND(D24/$E$2,1)</f>
        <v>3</v>
      </c>
      <c r="G24" s="17" t="n">
        <f aca="false">IF(E24&gt;=2,CEILING(D24/$E$2,1),"one-off: "&amp;TEXT(D24,"#,##0")&amp;" total")</f>
        <v>3</v>
      </c>
      <c r="H24" s="9" t="n">
        <v>144</v>
      </c>
      <c r="I24" s="9" t="n">
        <f aca="false">ROUND(H24/$E$2,0)</f>
        <v>36</v>
      </c>
      <c r="J24" s="5" t="str">
        <f aca="false">A24&amp;"|"&amp;C24</f>
        <v>Forget-Me-Nots|SM</v>
      </c>
    </row>
    <row r="25" customFormat="false" ht="15" hidden="false" customHeight="false" outlineLevel="0" collapsed="false">
      <c r="A25" s="7" t="s">
        <v>59</v>
      </c>
      <c r="B25" s="7" t="s">
        <v>29</v>
      </c>
      <c r="C25" s="7" t="s">
        <v>32</v>
      </c>
      <c r="D25" s="14" t="n">
        <v>7</v>
      </c>
      <c r="E25" s="15" t="n">
        <v>3</v>
      </c>
      <c r="F25" s="16" t="n">
        <f aca="false">ROUND(D25/$E$2,1)</f>
        <v>1.8</v>
      </c>
      <c r="G25" s="17" t="n">
        <f aca="false">IF(E25&gt;=2,CEILING(D25/$E$2,1),"one-off: "&amp;TEXT(D25,"#,##0")&amp;" total")</f>
        <v>2</v>
      </c>
      <c r="H25" s="9" t="n">
        <v>105</v>
      </c>
      <c r="I25" s="9" t="n">
        <f aca="false">ROUND(H25/$E$2,0)</f>
        <v>26</v>
      </c>
      <c r="J25" s="5" t="str">
        <f aca="false">A25&amp;"|"&amp;C25</f>
        <v>New Zealand Spinach|LG</v>
      </c>
    </row>
    <row r="26" customFormat="false" ht="15" hidden="false" customHeight="false" outlineLevel="0" collapsed="false">
      <c r="A26" s="7" t="s">
        <v>44</v>
      </c>
      <c r="B26" s="7" t="s">
        <v>42</v>
      </c>
      <c r="C26" s="7" t="s">
        <v>32</v>
      </c>
      <c r="D26" s="14" t="n">
        <v>8</v>
      </c>
      <c r="E26" s="15" t="n">
        <v>3</v>
      </c>
      <c r="F26" s="16" t="n">
        <f aca="false">ROUND(D26/$E$2,1)</f>
        <v>2</v>
      </c>
      <c r="G26" s="17" t="n">
        <f aca="false">IF(E26&gt;=2,CEILING(D26/$E$2,1),"one-off: "&amp;TEXT(D26,"#,##0")&amp;" total")</f>
        <v>2</v>
      </c>
      <c r="H26" s="9" t="n">
        <v>96</v>
      </c>
      <c r="I26" s="9" t="n">
        <f aca="false">ROUND(H26/$E$2,0)</f>
        <v>24</v>
      </c>
      <c r="J26" s="5" t="str">
        <f aca="false">A26&amp;"|"&amp;C26</f>
        <v>Marigold|LG</v>
      </c>
    </row>
    <row r="27" customFormat="false" ht="15" hidden="false" customHeight="false" outlineLevel="0" collapsed="false">
      <c r="A27" s="7" t="s">
        <v>57</v>
      </c>
      <c r="B27" s="7" t="s">
        <v>26</v>
      </c>
      <c r="C27" s="7" t="s">
        <v>32</v>
      </c>
      <c r="D27" s="14" t="n">
        <v>4</v>
      </c>
      <c r="E27" s="15" t="n">
        <v>3</v>
      </c>
      <c r="F27" s="16" t="n">
        <f aca="false">ROUND(D27/$E$2,1)</f>
        <v>1</v>
      </c>
      <c r="G27" s="17" t="n">
        <f aca="false">IF(E27&gt;=2,CEILING(D27/$E$2,1),"one-off: "&amp;TEXT(D27,"#,##0")&amp;" total")</f>
        <v>1</v>
      </c>
      <c r="H27" s="9" t="n">
        <v>60</v>
      </c>
      <c r="I27" s="9" t="n">
        <f aca="false">ROUND(H27/$E$2,0)</f>
        <v>15</v>
      </c>
      <c r="J27" s="5" t="str">
        <f aca="false">A27&amp;"|"&amp;C27</f>
        <v>Shiso|LG</v>
      </c>
    </row>
    <row r="28" customFormat="false" ht="15" hidden="false" customHeight="false" outlineLevel="0" collapsed="false">
      <c r="A28" s="7" t="s">
        <v>37</v>
      </c>
      <c r="B28" s="7" t="s">
        <v>29</v>
      </c>
      <c r="C28" s="7" t="s">
        <v>32</v>
      </c>
      <c r="D28" s="14" t="n">
        <v>5</v>
      </c>
      <c r="E28" s="15" t="n">
        <v>3</v>
      </c>
      <c r="F28" s="16" t="n">
        <f aca="false">ROUND(D28/$E$2,1)</f>
        <v>1.3</v>
      </c>
      <c r="G28" s="17" t="n">
        <f aca="false">IF(E28&gt;=2,CEILING(D28/$E$2,1),"one-off: "&amp;TEXT(D28,"#,##0")&amp;" total")</f>
        <v>2</v>
      </c>
      <c r="H28" s="9" t="n">
        <v>50</v>
      </c>
      <c r="I28" s="9" t="n">
        <f aca="false">ROUND(H28/$E$2,0)</f>
        <v>13</v>
      </c>
      <c r="J28" s="5" t="str">
        <f aca="false">A28&amp;"|"&amp;C28</f>
        <v>Carrots|LG</v>
      </c>
    </row>
    <row r="29" customFormat="false" ht="15" hidden="false" customHeight="false" outlineLevel="0" collapsed="false">
      <c r="A29" s="12" t="s">
        <v>107</v>
      </c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7" t="s">
        <v>28</v>
      </c>
      <c r="B30" s="7" t="s">
        <v>29</v>
      </c>
      <c r="C30" s="7" t="s">
        <v>30</v>
      </c>
      <c r="D30" s="14" t="n">
        <v>60</v>
      </c>
      <c r="E30" s="15" t="n">
        <v>2</v>
      </c>
      <c r="F30" s="16" t="n">
        <f aca="false">ROUND(D30/$E$2,1)</f>
        <v>15</v>
      </c>
      <c r="G30" s="17" t="n">
        <f aca="false">IF(E30&gt;=2,CEILING(D30/$E$2,1),"one-off: "&amp;TEXT(D30,"#,##0")&amp;" total")</f>
        <v>15</v>
      </c>
      <c r="H30" s="9" t="n">
        <v>600</v>
      </c>
      <c r="I30" s="9" t="n">
        <f aca="false">ROUND(H30/$E$2,0)</f>
        <v>150</v>
      </c>
      <c r="J30" s="5" t="str">
        <f aca="false">A30&amp;"|"&amp;C30</f>
        <v>Peppers|lbs</v>
      </c>
    </row>
    <row r="31" customFormat="false" ht="15" hidden="false" customHeight="false" outlineLevel="0" collapsed="false">
      <c r="A31" s="7" t="s">
        <v>46</v>
      </c>
      <c r="B31" s="7" t="s">
        <v>29</v>
      </c>
      <c r="C31" s="7" t="s">
        <v>30</v>
      </c>
      <c r="D31" s="14" t="n">
        <v>62</v>
      </c>
      <c r="E31" s="15" t="n">
        <v>2</v>
      </c>
      <c r="F31" s="16" t="n">
        <f aca="false">ROUND(D31/$E$2,1)</f>
        <v>15.5</v>
      </c>
      <c r="G31" s="17" t="n">
        <f aca="false">IF(E31&gt;=2,CEILING(D31/$E$2,1),"one-off: "&amp;TEXT(D31,"#,##0")&amp;" total")</f>
        <v>16</v>
      </c>
      <c r="H31" s="9" t="n">
        <v>372</v>
      </c>
      <c r="I31" s="9" t="n">
        <f aca="false">ROUND(H31/$E$2,0)</f>
        <v>93</v>
      </c>
      <c r="J31" s="5" t="str">
        <f aca="false">A31&amp;"|"&amp;C31</f>
        <v>Figs|lbs</v>
      </c>
    </row>
    <row r="32" customFormat="false" ht="15" hidden="false" customHeight="false" outlineLevel="0" collapsed="false">
      <c r="A32" s="7" t="s">
        <v>62</v>
      </c>
      <c r="B32" s="7" t="s">
        <v>29</v>
      </c>
      <c r="C32" s="7" t="s">
        <v>30</v>
      </c>
      <c r="D32" s="14" t="n">
        <v>34.5</v>
      </c>
      <c r="E32" s="15" t="n">
        <v>2</v>
      </c>
      <c r="F32" s="16" t="n">
        <f aca="false">ROUND(D32/$E$2,1)</f>
        <v>8.6</v>
      </c>
      <c r="G32" s="17" t="n">
        <f aca="false">IF(E32&gt;=2,CEILING(D32/$E$2,1),"one-off: "&amp;TEXT(D32,"#,##0")&amp;" total")</f>
        <v>9</v>
      </c>
      <c r="H32" s="9" t="n">
        <v>276</v>
      </c>
      <c r="I32" s="9" t="n">
        <f aca="false">ROUND(H32/$E$2,0)</f>
        <v>69</v>
      </c>
      <c r="J32" s="5" t="str">
        <f aca="false">A32&amp;"|"&amp;C32</f>
        <v>Eggplant|lbs</v>
      </c>
    </row>
    <row r="33" customFormat="false" ht="15" hidden="false" customHeight="false" outlineLevel="0" collapsed="false">
      <c r="A33" s="7" t="s">
        <v>73</v>
      </c>
      <c r="B33" s="7" t="s">
        <v>29</v>
      </c>
      <c r="C33" s="7" t="s">
        <v>30</v>
      </c>
      <c r="D33" s="14" t="n">
        <v>36</v>
      </c>
      <c r="E33" s="15" t="n">
        <v>2</v>
      </c>
      <c r="F33" s="16" t="n">
        <f aca="false">ROUND(D33/$E$2,1)</f>
        <v>9</v>
      </c>
      <c r="G33" s="17" t="n">
        <f aca="false">IF(E33&gt;=2,CEILING(D33/$E$2,1),"one-off: "&amp;TEXT(D33,"#,##0")&amp;" total")</f>
        <v>9</v>
      </c>
      <c r="H33" s="9" t="n">
        <v>180</v>
      </c>
      <c r="I33" s="9" t="n">
        <f aca="false">ROUND(H33/$E$2,0)</f>
        <v>45</v>
      </c>
      <c r="J33" s="5" t="str">
        <f aca="false">A33&amp;"|"&amp;C33</f>
        <v>Grapes|lbs</v>
      </c>
    </row>
    <row r="34" customFormat="false" ht="15" hidden="false" customHeight="false" outlineLevel="0" collapsed="false">
      <c r="A34" s="7" t="s">
        <v>34</v>
      </c>
      <c r="B34" s="7" t="s">
        <v>29</v>
      </c>
      <c r="C34" s="7" t="s">
        <v>32</v>
      </c>
      <c r="D34" s="14" t="n">
        <v>15</v>
      </c>
      <c r="E34" s="15" t="n">
        <v>2</v>
      </c>
      <c r="F34" s="16" t="n">
        <f aca="false">ROUND(D34/$E$2,1)</f>
        <v>3.8</v>
      </c>
      <c r="G34" s="17" t="n">
        <f aca="false">IF(E34&gt;=2,CEILING(D34/$E$2,1),"one-off: "&amp;TEXT(D34,"#,##0")&amp;" total")</f>
        <v>4</v>
      </c>
      <c r="H34" s="9" t="n">
        <v>150</v>
      </c>
      <c r="I34" s="9" t="n">
        <f aca="false">ROUND(H34/$E$2,0)</f>
        <v>38</v>
      </c>
      <c r="J34" s="5" t="str">
        <f aca="false">A34&amp;"|"&amp;C34</f>
        <v>Tomatoes|LG</v>
      </c>
    </row>
    <row r="35" customFormat="false" ht="15" hidden="false" customHeight="false" outlineLevel="0" collapsed="false">
      <c r="A35" s="7" t="s">
        <v>67</v>
      </c>
      <c r="B35" s="7" t="s">
        <v>36</v>
      </c>
      <c r="C35" s="7" t="s">
        <v>32</v>
      </c>
      <c r="D35" s="14" t="n">
        <v>10</v>
      </c>
      <c r="E35" s="15" t="n">
        <v>2</v>
      </c>
      <c r="F35" s="16" t="n">
        <f aca="false">ROUND(D35/$E$2,1)</f>
        <v>2.5</v>
      </c>
      <c r="G35" s="17" t="n">
        <f aca="false">IF(E35&gt;=2,CEILING(D35/$E$2,1),"one-off: "&amp;TEXT(D35,"#,##0")&amp;" total")</f>
        <v>3</v>
      </c>
      <c r="H35" s="9" t="n">
        <v>150</v>
      </c>
      <c r="I35" s="9" t="n">
        <f aca="false">ROUND(H35/$E$2,0)</f>
        <v>38</v>
      </c>
      <c r="J35" s="5" t="str">
        <f aca="false">A35&amp;"|"&amp;C35</f>
        <v>Squash Tendril|LG</v>
      </c>
    </row>
    <row r="36" customFormat="false" ht="15" hidden="false" customHeight="false" outlineLevel="0" collapsed="false">
      <c r="A36" s="7" t="s">
        <v>66</v>
      </c>
      <c r="B36" s="7" t="s">
        <v>42</v>
      </c>
      <c r="C36" s="7" t="s">
        <v>32</v>
      </c>
      <c r="D36" s="14" t="n">
        <v>8</v>
      </c>
      <c r="E36" s="15" t="n">
        <v>2</v>
      </c>
      <c r="F36" s="16" t="n">
        <f aca="false">ROUND(D36/$E$2,1)</f>
        <v>2</v>
      </c>
      <c r="G36" s="17" t="n">
        <f aca="false">IF(E36&gt;=2,CEILING(D36/$E$2,1),"one-off: "&amp;TEXT(D36,"#,##0")&amp;" total")</f>
        <v>2</v>
      </c>
      <c r="H36" s="9" t="n">
        <v>96</v>
      </c>
      <c r="I36" s="9" t="n">
        <f aca="false">ROUND(H36/$E$2,0)</f>
        <v>24</v>
      </c>
      <c r="J36" s="5" t="str">
        <f aca="false">A36&amp;"|"&amp;C36</f>
        <v>Cosmos|LG</v>
      </c>
    </row>
    <row r="37" customFormat="false" ht="15" hidden="false" customHeight="false" outlineLevel="0" collapsed="false">
      <c r="A37" s="7" t="s">
        <v>54</v>
      </c>
      <c r="B37" s="7" t="s">
        <v>26</v>
      </c>
      <c r="C37" s="7" t="s">
        <v>32</v>
      </c>
      <c r="D37" s="14" t="n">
        <v>4</v>
      </c>
      <c r="E37" s="15" t="n">
        <v>2</v>
      </c>
      <c r="F37" s="16" t="n">
        <f aca="false">ROUND(D37/$E$2,1)</f>
        <v>1</v>
      </c>
      <c r="G37" s="17" t="n">
        <f aca="false">IF(E37&gt;=2,CEILING(D37/$E$2,1),"one-off: "&amp;TEXT(D37,"#,##0")&amp;" total")</f>
        <v>1</v>
      </c>
      <c r="H37" s="9" t="n">
        <v>60</v>
      </c>
      <c r="I37" s="9" t="n">
        <f aca="false">ROUND(H37/$E$2,0)</f>
        <v>15</v>
      </c>
      <c r="J37" s="5" t="str">
        <f aca="false">A37&amp;"|"&amp;C37</f>
        <v>Aptenia|LG</v>
      </c>
    </row>
    <row r="38" customFormat="false" ht="15" hidden="false" customHeight="false" outlineLevel="0" collapsed="false">
      <c r="A38" s="7" t="s">
        <v>56</v>
      </c>
      <c r="B38" s="7" t="s">
        <v>42</v>
      </c>
      <c r="C38" s="7" t="s">
        <v>45</v>
      </c>
      <c r="D38" s="14" t="n">
        <v>5</v>
      </c>
      <c r="E38" s="15" t="n">
        <v>2</v>
      </c>
      <c r="F38" s="16" t="n">
        <f aca="false">ROUND(D38/$E$2,1)</f>
        <v>1.3</v>
      </c>
      <c r="G38" s="17" t="n">
        <f aca="false">IF(E38&gt;=2,CEILING(D38/$E$2,1),"one-off: "&amp;TEXT(D38,"#,##0")&amp;" total")</f>
        <v>2</v>
      </c>
      <c r="H38" s="9" t="n">
        <v>30</v>
      </c>
      <c r="I38" s="9" t="n">
        <f aca="false">ROUND(H38/$E$2,0)</f>
        <v>8</v>
      </c>
      <c r="J38" s="5" t="str">
        <f aca="false">A38&amp;"|"&amp;C38</f>
        <v>Alyssum|SM</v>
      </c>
    </row>
    <row r="39" customFormat="false" ht="15" hidden="false" customHeight="false" outlineLevel="0" collapsed="false">
      <c r="A39" s="12" t="s">
        <v>108</v>
      </c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7" t="s">
        <v>81</v>
      </c>
      <c r="B40" s="7" t="s">
        <v>26</v>
      </c>
      <c r="C40" s="7" t="s">
        <v>27</v>
      </c>
      <c r="D40" s="14" t="n">
        <v>1000</v>
      </c>
      <c r="E40" s="15" t="n">
        <v>1</v>
      </c>
      <c r="F40" s="16" t="n">
        <f aca="false">ROUND(D40/$E$2,1)</f>
        <v>250</v>
      </c>
      <c r="G40" s="17" t="str">
        <f aca="false">IF(E40&gt;=2,CEILING(D40/$E$2,1),"one-off: "&amp;TEXT(D40,"#,##0")&amp;" total")</f>
        <v>one-off: 1,000 total</v>
      </c>
      <c r="H40" s="9" t="n">
        <v>100</v>
      </c>
      <c r="I40" s="9" t="n">
        <f aca="false">ROUND(H40/$E$2,0)</f>
        <v>25</v>
      </c>
      <c r="J40" s="5" t="str">
        <f aca="false">A40&amp;"|"&amp;C40</f>
        <v>Lavender|each</v>
      </c>
    </row>
    <row r="41" customFormat="false" ht="15" hidden="false" customHeight="false" outlineLevel="0" collapsed="false">
      <c r="A41" s="7" t="s">
        <v>68</v>
      </c>
      <c r="B41" s="7" t="s">
        <v>29</v>
      </c>
      <c r="C41" s="7" t="s">
        <v>27</v>
      </c>
      <c r="D41" s="14" t="n">
        <v>14</v>
      </c>
      <c r="E41" s="15" t="n">
        <v>1</v>
      </c>
      <c r="F41" s="16" t="n">
        <f aca="false">ROUND(D41/$E$2,1)</f>
        <v>3.5</v>
      </c>
      <c r="G41" s="17" t="str">
        <f aca="false">IF(E41&gt;=2,CEILING(D41/$E$2,1),"one-off: "&amp;TEXT(D41,"#,##0")&amp;" total")</f>
        <v>one-off: 14 total</v>
      </c>
      <c r="H41" s="9" t="n">
        <v>90</v>
      </c>
      <c r="I41" s="9" t="n">
        <f aca="false">ROUND(H41/$E$2,0)</f>
        <v>23</v>
      </c>
      <c r="J41" s="5" t="str">
        <f aca="false">A41&amp;"|"&amp;C41</f>
        <v>Quince|each</v>
      </c>
    </row>
    <row r="42" customFormat="false" ht="15" hidden="false" customHeight="false" outlineLevel="0" collapsed="false">
      <c r="A42" s="7" t="s">
        <v>70</v>
      </c>
      <c r="B42" s="7" t="s">
        <v>42</v>
      </c>
      <c r="C42" s="7" t="s">
        <v>32</v>
      </c>
      <c r="D42" s="14" t="n">
        <v>5</v>
      </c>
      <c r="E42" s="15" t="n">
        <v>1</v>
      </c>
      <c r="F42" s="16" t="n">
        <f aca="false">ROUND(D42/$E$2,1)</f>
        <v>1.3</v>
      </c>
      <c r="G42" s="17" t="str">
        <f aca="false">IF(E42&gt;=2,CEILING(D42/$E$2,1),"one-off: "&amp;TEXT(D42,"#,##0")&amp;" total")</f>
        <v>one-off: 5 total</v>
      </c>
      <c r="H42" s="9" t="n">
        <v>75</v>
      </c>
      <c r="I42" s="9" t="n">
        <f aca="false">ROUND(H42/$E$2,0)</f>
        <v>19</v>
      </c>
      <c r="J42" s="5" t="str">
        <f aca="false">A42&amp;"|"&amp;C42</f>
        <v>Yarrow|LG</v>
      </c>
    </row>
    <row r="43" customFormat="false" ht="15" hidden="false" customHeight="false" outlineLevel="0" collapsed="false">
      <c r="A43" s="7" t="s">
        <v>76</v>
      </c>
      <c r="B43" s="7" t="s">
        <v>29</v>
      </c>
      <c r="C43" s="7" t="s">
        <v>30</v>
      </c>
      <c r="D43" s="14" t="n">
        <v>10</v>
      </c>
      <c r="E43" s="15" t="n">
        <v>1</v>
      </c>
      <c r="F43" s="16" t="n">
        <f aca="false">ROUND(D43/$E$2,1)</f>
        <v>2.5</v>
      </c>
      <c r="G43" s="17" t="str">
        <f aca="false">IF(E43&gt;=2,CEILING(D43/$E$2,1),"one-off: "&amp;TEXT(D43,"#,##0")&amp;" total")</f>
        <v>one-off: 10 total</v>
      </c>
      <c r="H43" s="9" t="n">
        <v>50</v>
      </c>
      <c r="I43" s="9" t="n">
        <f aca="false">ROUND(H43/$E$2,0)</f>
        <v>13</v>
      </c>
      <c r="J43" s="5" t="str">
        <f aca="false">A43&amp;"|"&amp;C43</f>
        <v>Peaches|lbs</v>
      </c>
    </row>
    <row r="44" customFormat="false" ht="15" hidden="false" customHeight="false" outlineLevel="0" collapsed="false">
      <c r="A44" s="7" t="s">
        <v>87</v>
      </c>
      <c r="B44" s="7" t="s">
        <v>29</v>
      </c>
      <c r="C44" s="7" t="s">
        <v>32</v>
      </c>
      <c r="D44" s="14" t="n">
        <v>2</v>
      </c>
      <c r="E44" s="15" t="n">
        <v>1</v>
      </c>
      <c r="F44" s="16" t="n">
        <f aca="false">ROUND(D44/$E$2,1)</f>
        <v>0.5</v>
      </c>
      <c r="G44" s="17" t="str">
        <f aca="false">IF(E44&gt;=2,CEILING(D44/$E$2,1),"one-off: "&amp;TEXT(D44,"#,##0")&amp;" total")</f>
        <v>one-off: 2 total</v>
      </c>
      <c r="H44" s="9" t="n">
        <v>48</v>
      </c>
      <c r="I44" s="9" t="n">
        <f aca="false">ROUND(H44/$E$2,0)</f>
        <v>12</v>
      </c>
      <c r="J44" s="5" t="str">
        <f aca="false">A44&amp;"|"&amp;C44</f>
        <v>Blackberries|LG</v>
      </c>
    </row>
    <row r="45" customFormat="false" ht="15" hidden="false" customHeight="false" outlineLevel="0" collapsed="false">
      <c r="A45" s="7" t="s">
        <v>77</v>
      </c>
      <c r="B45" s="7" t="s">
        <v>42</v>
      </c>
      <c r="C45" s="7" t="s">
        <v>32</v>
      </c>
      <c r="D45" s="14" t="n">
        <v>2</v>
      </c>
      <c r="E45" s="15" t="n">
        <v>1</v>
      </c>
      <c r="F45" s="16" t="n">
        <f aca="false">ROUND(D45/$E$2,1)</f>
        <v>0.5</v>
      </c>
      <c r="G45" s="17" t="str">
        <f aca="false">IF(E45&gt;=2,CEILING(D45/$E$2,1),"one-off: "&amp;TEXT(D45,"#,##0")&amp;" total")</f>
        <v>one-off: 2 total</v>
      </c>
      <c r="H45" s="9" t="n">
        <v>30</v>
      </c>
      <c r="I45" s="9" t="n">
        <f aca="false">ROUND(H45/$E$2,0)</f>
        <v>8</v>
      </c>
      <c r="J45" s="5" t="str">
        <f aca="false">A45&amp;"|"&amp;C45</f>
        <v>Black Eyed Susans|LG</v>
      </c>
    </row>
    <row r="46" customFormat="false" ht="15" hidden="false" customHeight="false" outlineLevel="0" collapsed="false">
      <c r="A46" s="7" t="s">
        <v>57</v>
      </c>
      <c r="B46" s="7" t="s">
        <v>26</v>
      </c>
      <c r="C46" s="7" t="s">
        <v>45</v>
      </c>
      <c r="D46" s="14" t="n">
        <v>2</v>
      </c>
      <c r="E46" s="15" t="n">
        <v>1</v>
      </c>
      <c r="F46" s="16" t="n">
        <f aca="false">ROUND(D46/$E$2,1)</f>
        <v>0.5</v>
      </c>
      <c r="G46" s="17" t="str">
        <f aca="false">IF(E46&gt;=2,CEILING(D46/$E$2,1),"one-off: "&amp;TEXT(D46,"#,##0")&amp;" total")</f>
        <v>one-off: 2 total</v>
      </c>
      <c r="H46" s="9" t="n">
        <v>24</v>
      </c>
      <c r="I46" s="9" t="n">
        <f aca="false">ROUND(H46/$E$2,0)</f>
        <v>6</v>
      </c>
      <c r="J46" s="5" t="str">
        <f aca="false">A46&amp;"|"&amp;C46</f>
        <v>Shiso|SM</v>
      </c>
    </row>
    <row r="47" customFormat="false" ht="15" hidden="false" customHeight="false" outlineLevel="0" collapsed="false">
      <c r="A47" s="7" t="s">
        <v>79</v>
      </c>
      <c r="B47" s="7" t="s">
        <v>26</v>
      </c>
      <c r="C47" s="7" t="s">
        <v>32</v>
      </c>
      <c r="D47" s="14" t="n">
        <v>1</v>
      </c>
      <c r="E47" s="15" t="n">
        <v>1</v>
      </c>
      <c r="F47" s="16" t="n">
        <f aca="false">ROUND(D47/$E$2,1)</f>
        <v>0.3</v>
      </c>
      <c r="G47" s="17" t="str">
        <f aca="false">IF(E47&gt;=2,CEILING(D47/$E$2,1),"one-off: "&amp;TEXT(D47,"#,##0")&amp;" total")</f>
        <v>one-off: 1 total</v>
      </c>
      <c r="H47" s="9" t="n">
        <v>20</v>
      </c>
      <c r="I47" s="9" t="n">
        <f aca="false">ROUND(H47/$E$2,0)</f>
        <v>5</v>
      </c>
      <c r="J47" s="5" t="str">
        <f aca="false">A47&amp;"|"&amp;C47</f>
        <v>Bay Leaf|LG</v>
      </c>
    </row>
    <row r="48" customFormat="false" ht="15" hidden="false" customHeight="false" outlineLevel="0" collapsed="false">
      <c r="A48" s="7" t="s">
        <v>69</v>
      </c>
      <c r="B48" s="7" t="s">
        <v>26</v>
      </c>
      <c r="C48" s="7" t="s">
        <v>32</v>
      </c>
      <c r="D48" s="14" t="n">
        <v>1</v>
      </c>
      <c r="E48" s="15" t="n">
        <v>1</v>
      </c>
      <c r="F48" s="16" t="n">
        <f aca="false">ROUND(D48/$E$2,1)</f>
        <v>0.3</v>
      </c>
      <c r="G48" s="17" t="str">
        <f aca="false">IF(E48&gt;=2,CEILING(D48/$E$2,1),"one-off: "&amp;TEXT(D48,"#,##0")&amp;" total")</f>
        <v>one-off: 1 total</v>
      </c>
      <c r="H48" s="9" t="n">
        <v>12</v>
      </c>
      <c r="I48" s="9" t="n">
        <f aca="false">ROUND(H48/$E$2,0)</f>
        <v>3</v>
      </c>
      <c r="J48" s="5" t="str">
        <f aca="false">A48&amp;"|"&amp;C48</f>
        <v>Field Pea Tendrils|LG</v>
      </c>
    </row>
    <row r="49" customFormat="false" ht="15" hidden="false" customHeight="false" outlineLevel="0" collapsed="false">
      <c r="A49" s="7" t="s">
        <v>96</v>
      </c>
      <c r="B49" s="7" t="s">
        <v>29</v>
      </c>
      <c r="C49" s="7" t="s">
        <v>27</v>
      </c>
      <c r="D49" s="14" t="n">
        <v>8</v>
      </c>
      <c r="E49" s="15" t="n">
        <v>1</v>
      </c>
      <c r="F49" s="16" t="n">
        <f aca="false">ROUND(D49/$E$2,1)</f>
        <v>2</v>
      </c>
      <c r="G49" s="17" t="str">
        <f aca="false">IF(E49&gt;=2,CEILING(D49/$E$2,1),"one-off: "&amp;TEXT(D49,"#,##0")&amp;" total")</f>
        <v>one-off: 8 total</v>
      </c>
      <c r="H49" s="9" t="n">
        <v>11</v>
      </c>
      <c r="I49" s="9" t="n">
        <f aca="false">ROUND(H49/$E$2,0)</f>
        <v>3</v>
      </c>
      <c r="J49" s="5" t="str">
        <f aca="false">A49&amp;"|"&amp;C49</f>
        <v>Apple|each</v>
      </c>
    </row>
    <row r="50" customFormat="false" ht="15" hidden="false" customHeight="false" outlineLevel="0" collapsed="false">
      <c r="A50" s="18" t="s">
        <v>109</v>
      </c>
      <c r="H50" s="19" t="n">
        <f aca="false">SUM(H5:H49)</f>
        <v>12753</v>
      </c>
      <c r="I50" s="19" t="n">
        <f aca="false">ROUND(H50/$E$2,0)</f>
        <v>3188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true" outlineLevel="0" max="10" min="10" style="0" width="4"/>
  </cols>
  <sheetData>
    <row r="1" customFormat="false" ht="17.35" hidden="false" customHeight="false" outlineLevel="0" collapsed="false">
      <c r="A1" s="4" t="s">
        <v>110</v>
      </c>
    </row>
    <row r="2" customFormat="false" ht="15" hidden="false" customHeight="false" outlineLevel="0" collapsed="false">
      <c r="A2" s="5" t="s">
        <v>111</v>
      </c>
      <c r="E2" s="10" t="n">
        <v>5</v>
      </c>
    </row>
    <row r="4" customFormat="false" ht="15" hidden="false" customHeight="false" outlineLevel="0" collapsed="false">
      <c r="A4" s="11" t="s">
        <v>16</v>
      </c>
      <c r="B4" s="11" t="s">
        <v>17</v>
      </c>
      <c r="C4" s="11" t="s">
        <v>18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</row>
    <row r="5" customFormat="false" ht="15" hidden="false" customHeight="false" outlineLevel="0" collapsed="false">
      <c r="A5" s="12" t="s">
        <v>106</v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7" t="s">
        <v>31</v>
      </c>
      <c r="B6" s="7" t="s">
        <v>26</v>
      </c>
      <c r="C6" s="7" t="s">
        <v>32</v>
      </c>
      <c r="D6" s="14" t="n">
        <v>109</v>
      </c>
      <c r="E6" s="15" t="n">
        <v>5</v>
      </c>
      <c r="F6" s="16" t="n">
        <f aca="false">ROUND(D6/$E$2,1)</f>
        <v>21.8</v>
      </c>
      <c r="G6" s="17" t="n">
        <f aca="false">IF(E6&gt;=2,CEILING(D6/$E$2,1),"one-off: "&amp;TEXT(D6,"#,##0")&amp;" total")</f>
        <v>22</v>
      </c>
      <c r="H6" s="9" t="n">
        <v>2196</v>
      </c>
      <c r="I6" s="9" t="n">
        <f aca="false">ROUND(H6/$E$2,0)</f>
        <v>439</v>
      </c>
      <c r="J6" s="5" t="str">
        <f aca="false">A6&amp;"|"&amp;C6</f>
        <v>Basil|LG</v>
      </c>
    </row>
    <row r="7" customFormat="false" ht="15" hidden="false" customHeight="false" outlineLevel="0" collapsed="false">
      <c r="A7" s="7" t="s">
        <v>39</v>
      </c>
      <c r="B7" s="7" t="s">
        <v>26</v>
      </c>
      <c r="C7" s="7" t="s">
        <v>40</v>
      </c>
      <c r="D7" s="14" t="n">
        <v>36</v>
      </c>
      <c r="E7" s="15" t="n">
        <v>5</v>
      </c>
      <c r="F7" s="16" t="n">
        <f aca="false">ROUND(D7/$E$2,1)</f>
        <v>7.2</v>
      </c>
      <c r="G7" s="17" t="n">
        <f aca="false">IF(E7&gt;=2,CEILING(D7/$E$2,1),"one-off: "&amp;TEXT(D7,"#,##0")&amp;" total")</f>
        <v>8</v>
      </c>
      <c r="H7" s="9" t="n">
        <v>1728</v>
      </c>
      <c r="I7" s="9" t="n">
        <f aca="false">ROUND(H7/$E$2,0)</f>
        <v>346</v>
      </c>
      <c r="J7" s="5" t="str">
        <f aca="false">A7&amp;"|"&amp;C7</f>
        <v>Squash|box</v>
      </c>
    </row>
    <row r="8" customFormat="false" ht="15" hidden="false" customHeight="false" outlineLevel="0" collapsed="false">
      <c r="A8" s="7" t="s">
        <v>25</v>
      </c>
      <c r="B8" s="7" t="s">
        <v>26</v>
      </c>
      <c r="C8" s="7" t="s">
        <v>27</v>
      </c>
      <c r="D8" s="14" t="n">
        <v>4620</v>
      </c>
      <c r="E8" s="15" t="n">
        <v>5</v>
      </c>
      <c r="F8" s="16" t="n">
        <f aca="false">ROUND(D8/$E$2,1)</f>
        <v>924</v>
      </c>
      <c r="G8" s="17" t="n">
        <f aca="false">IF(E8&gt;=2,CEILING(D8/$E$2,1),"one-off: "&amp;TEXT(D8,"#,##0")&amp;" total")</f>
        <v>924</v>
      </c>
      <c r="H8" s="9" t="n">
        <v>1617</v>
      </c>
      <c r="I8" s="9" t="n">
        <f aca="false">ROUND(H8/$E$2,0)</f>
        <v>323</v>
      </c>
      <c r="J8" s="5" t="str">
        <f aca="false">A8&amp;"|"&amp;C8</f>
        <v>Nasturtium|each</v>
      </c>
    </row>
    <row r="9" customFormat="false" ht="15" hidden="false" customHeight="false" outlineLevel="0" collapsed="false">
      <c r="A9" s="7" t="s">
        <v>35</v>
      </c>
      <c r="B9" s="7" t="s">
        <v>36</v>
      </c>
      <c r="C9" s="7" t="s">
        <v>32</v>
      </c>
      <c r="D9" s="14" t="n">
        <v>82.5</v>
      </c>
      <c r="E9" s="15" t="n">
        <v>5</v>
      </c>
      <c r="F9" s="16" t="n">
        <f aca="false">ROUND(D9/$E$2,1)</f>
        <v>16.5</v>
      </c>
      <c r="G9" s="17" t="n">
        <f aca="false">IF(E9&gt;=2,CEILING(D9/$E$2,1),"one-off: "&amp;TEXT(D9,"#,##0")&amp;" total")</f>
        <v>17</v>
      </c>
      <c r="H9" s="9" t="n">
        <v>1238</v>
      </c>
      <c r="I9" s="9" t="n">
        <f aca="false">ROUND(H9/$E$2,0)</f>
        <v>248</v>
      </c>
      <c r="J9" s="5" t="str">
        <f aca="false">A9&amp;"|"&amp;C9</f>
        <v>Anise Hyssop|LG</v>
      </c>
    </row>
    <row r="10" customFormat="false" ht="15" hidden="false" customHeight="false" outlineLevel="0" collapsed="false">
      <c r="A10" s="7" t="s">
        <v>46</v>
      </c>
      <c r="B10" s="7" t="s">
        <v>29</v>
      </c>
      <c r="C10" s="7" t="s">
        <v>30</v>
      </c>
      <c r="D10" s="14" t="n">
        <v>165</v>
      </c>
      <c r="E10" s="15" t="n">
        <v>5</v>
      </c>
      <c r="F10" s="16" t="n">
        <f aca="false">ROUND(D10/$E$2,1)</f>
        <v>33</v>
      </c>
      <c r="G10" s="17" t="n">
        <f aca="false">IF(E10&gt;=2,CEILING(D10/$E$2,1),"one-off: "&amp;TEXT(D10,"#,##0")&amp;" total")</f>
        <v>33</v>
      </c>
      <c r="H10" s="9" t="n">
        <v>990</v>
      </c>
      <c r="I10" s="9" t="n">
        <f aca="false">ROUND(H10/$E$2,0)</f>
        <v>198</v>
      </c>
      <c r="J10" s="5" t="str">
        <f aca="false">A10&amp;"|"&amp;C10</f>
        <v>Figs|lbs</v>
      </c>
    </row>
    <row r="11" customFormat="false" ht="15" hidden="false" customHeight="false" outlineLevel="0" collapsed="false">
      <c r="A11" s="7" t="s">
        <v>44</v>
      </c>
      <c r="B11" s="7" t="s">
        <v>42</v>
      </c>
      <c r="C11" s="7" t="s">
        <v>45</v>
      </c>
      <c r="D11" s="14" t="n">
        <v>68</v>
      </c>
      <c r="E11" s="15" t="n">
        <v>5</v>
      </c>
      <c r="F11" s="16" t="n">
        <f aca="false">ROUND(D11/$E$2,1)</f>
        <v>13.6</v>
      </c>
      <c r="G11" s="17" t="n">
        <f aca="false">IF(E11&gt;=2,CEILING(D11/$E$2,1),"one-off: "&amp;TEXT(D11,"#,##0")&amp;" total")</f>
        <v>14</v>
      </c>
      <c r="H11" s="9" t="n">
        <v>892</v>
      </c>
      <c r="I11" s="9" t="n">
        <f aca="false">ROUND(H11/$E$2,0)</f>
        <v>178</v>
      </c>
      <c r="J11" s="5" t="str">
        <f aca="false">A11&amp;"|"&amp;C11</f>
        <v>Marigold|SM</v>
      </c>
    </row>
    <row r="12" customFormat="false" ht="15" hidden="false" customHeight="false" outlineLevel="0" collapsed="false">
      <c r="A12" s="7" t="s">
        <v>39</v>
      </c>
      <c r="B12" s="7" t="s">
        <v>26</v>
      </c>
      <c r="C12" s="7" t="s">
        <v>32</v>
      </c>
      <c r="D12" s="14" t="n">
        <v>25</v>
      </c>
      <c r="E12" s="15" t="n">
        <v>5</v>
      </c>
      <c r="F12" s="16" t="n">
        <f aca="false">ROUND(D12/$E$2,1)</f>
        <v>5</v>
      </c>
      <c r="G12" s="17" t="n">
        <f aca="false">IF(E12&gt;=2,CEILING(D12/$E$2,1),"one-off: "&amp;TEXT(D12,"#,##0")&amp;" total")</f>
        <v>5</v>
      </c>
      <c r="H12" s="9" t="n">
        <v>625</v>
      </c>
      <c r="I12" s="9" t="n">
        <f aca="false">ROUND(H12/$E$2,0)</f>
        <v>125</v>
      </c>
      <c r="J12" s="5" t="str">
        <f aca="false">A12&amp;"|"&amp;C12</f>
        <v>Squash|LG</v>
      </c>
    </row>
    <row r="13" customFormat="false" ht="15" hidden="false" customHeight="false" outlineLevel="0" collapsed="false">
      <c r="A13" s="7" t="s">
        <v>50</v>
      </c>
      <c r="B13" s="7" t="s">
        <v>29</v>
      </c>
      <c r="C13" s="7" t="s">
        <v>30</v>
      </c>
      <c r="D13" s="14" t="n">
        <v>155</v>
      </c>
      <c r="E13" s="15" t="n">
        <v>5</v>
      </c>
      <c r="F13" s="16" t="n">
        <f aca="false">ROUND(D13/$E$2,1)</f>
        <v>31</v>
      </c>
      <c r="G13" s="17" t="n">
        <f aca="false">IF(E13&gt;=2,CEILING(D13/$E$2,1),"one-off: "&amp;TEXT(D13,"#,##0")&amp;" total")</f>
        <v>31</v>
      </c>
      <c r="H13" s="9" t="n">
        <v>620</v>
      </c>
      <c r="I13" s="9" t="n">
        <f aca="false">ROUND(H13/$E$2,0)</f>
        <v>124</v>
      </c>
      <c r="J13" s="5" t="str">
        <f aca="false">A13&amp;"|"&amp;C13</f>
        <v>Passionfruit|lbs</v>
      </c>
    </row>
    <row r="14" customFormat="false" ht="15" hidden="false" customHeight="false" outlineLevel="0" collapsed="false">
      <c r="A14" s="7" t="s">
        <v>31</v>
      </c>
      <c r="B14" s="7" t="s">
        <v>26</v>
      </c>
      <c r="C14" s="7" t="s">
        <v>45</v>
      </c>
      <c r="D14" s="14" t="n">
        <v>42</v>
      </c>
      <c r="E14" s="15" t="n">
        <v>4</v>
      </c>
      <c r="F14" s="16" t="n">
        <f aca="false">ROUND(D14/$E$2,1)</f>
        <v>8.4</v>
      </c>
      <c r="G14" s="17" t="n">
        <f aca="false">IF(E14&gt;=2,CEILING(D14/$E$2,1),"one-off: "&amp;TEXT(D14,"#,##0")&amp;" total")</f>
        <v>9</v>
      </c>
      <c r="H14" s="9" t="n">
        <v>504</v>
      </c>
      <c r="I14" s="9" t="n">
        <f aca="false">ROUND(H14/$E$2,0)</f>
        <v>101</v>
      </c>
      <c r="J14" s="5" t="str">
        <f aca="false">A14&amp;"|"&amp;C14</f>
        <v>Basil|SM</v>
      </c>
    </row>
    <row r="15" customFormat="false" ht="15" hidden="false" customHeight="false" outlineLevel="0" collapsed="false">
      <c r="A15" s="7" t="s">
        <v>53</v>
      </c>
      <c r="B15" s="7" t="s">
        <v>29</v>
      </c>
      <c r="C15" s="7" t="s">
        <v>45</v>
      </c>
      <c r="D15" s="14" t="n">
        <v>31</v>
      </c>
      <c r="E15" s="15" t="n">
        <v>4</v>
      </c>
      <c r="F15" s="16" t="n">
        <f aca="false">ROUND(D15/$E$2,1)</f>
        <v>6.2</v>
      </c>
      <c r="G15" s="17" t="n">
        <f aca="false">IF(E15&gt;=2,CEILING(D15/$E$2,1),"one-off: "&amp;TEXT(D15,"#,##0")&amp;" total")</f>
        <v>7</v>
      </c>
      <c r="H15" s="9" t="n">
        <v>465</v>
      </c>
      <c r="I15" s="9" t="n">
        <f aca="false">ROUND(H15/$E$2,0)</f>
        <v>93</v>
      </c>
      <c r="J15" s="5" t="str">
        <f aca="false">A15&amp;"|"&amp;C15</f>
        <v>Beans|SM</v>
      </c>
    </row>
    <row r="16" customFormat="false" ht="15" hidden="false" customHeight="false" outlineLevel="0" collapsed="false">
      <c r="A16" s="7" t="s">
        <v>52</v>
      </c>
      <c r="B16" s="7" t="s">
        <v>42</v>
      </c>
      <c r="C16" s="7" t="s">
        <v>45</v>
      </c>
      <c r="D16" s="14" t="n">
        <v>32</v>
      </c>
      <c r="E16" s="15" t="n">
        <v>5</v>
      </c>
      <c r="F16" s="16" t="n">
        <f aca="false">ROUND(D16/$E$2,1)</f>
        <v>6.4</v>
      </c>
      <c r="G16" s="17" t="n">
        <f aca="false">IF(E16&gt;=2,CEILING(D16/$E$2,1),"one-off: "&amp;TEXT(D16,"#,##0")&amp;" total")</f>
        <v>7</v>
      </c>
      <c r="H16" s="9" t="n">
        <v>384</v>
      </c>
      <c r="I16" s="9" t="n">
        <f aca="false">ROUND(H16/$E$2,0)</f>
        <v>77</v>
      </c>
      <c r="J16" s="5" t="str">
        <f aca="false">A16&amp;"|"&amp;C16</f>
        <v>Egyptian Starflower|SM</v>
      </c>
    </row>
    <row r="17" customFormat="false" ht="15" hidden="false" customHeight="false" outlineLevel="0" collapsed="false">
      <c r="A17" s="7" t="s">
        <v>55</v>
      </c>
      <c r="B17" s="7" t="s">
        <v>42</v>
      </c>
      <c r="C17" s="7" t="s">
        <v>32</v>
      </c>
      <c r="D17" s="14" t="n">
        <v>24</v>
      </c>
      <c r="E17" s="15" t="n">
        <v>4</v>
      </c>
      <c r="F17" s="16" t="n">
        <f aca="false">ROUND(D17/$E$2,1)</f>
        <v>4.8</v>
      </c>
      <c r="G17" s="17" t="n">
        <f aca="false">IF(E17&gt;=2,CEILING(D17/$E$2,1),"one-off: "&amp;TEXT(D17,"#,##0")&amp;" total")</f>
        <v>5</v>
      </c>
      <c r="H17" s="9" t="n">
        <v>360</v>
      </c>
      <c r="I17" s="9" t="n">
        <f aca="false">ROUND(H17/$E$2,0)</f>
        <v>72</v>
      </c>
      <c r="J17" s="5" t="str">
        <f aca="false">A17&amp;"|"&amp;C17</f>
        <v>Zinnias|LG</v>
      </c>
    </row>
    <row r="18" customFormat="false" ht="15" hidden="false" customHeight="false" outlineLevel="0" collapsed="false">
      <c r="A18" s="7" t="s">
        <v>44</v>
      </c>
      <c r="B18" s="7" t="s">
        <v>42</v>
      </c>
      <c r="C18" s="7" t="s">
        <v>32</v>
      </c>
      <c r="D18" s="14" t="n">
        <v>22</v>
      </c>
      <c r="E18" s="15" t="n">
        <v>5</v>
      </c>
      <c r="F18" s="16" t="n">
        <f aca="false">ROUND(D18/$E$2,1)</f>
        <v>4.4</v>
      </c>
      <c r="G18" s="17" t="n">
        <f aca="false">IF(E18&gt;=2,CEILING(D18/$E$2,1),"one-off: "&amp;TEXT(D18,"#,##0")&amp;" total")</f>
        <v>5</v>
      </c>
      <c r="H18" s="9" t="n">
        <v>264</v>
      </c>
      <c r="I18" s="9" t="n">
        <f aca="false">ROUND(H18/$E$2,0)</f>
        <v>53</v>
      </c>
      <c r="J18" s="5" t="str">
        <f aca="false">A18&amp;"|"&amp;C18</f>
        <v>Marigold|LG</v>
      </c>
    </row>
    <row r="19" customFormat="false" ht="15" hidden="false" customHeight="false" outlineLevel="0" collapsed="false">
      <c r="A19" s="7" t="s">
        <v>48</v>
      </c>
      <c r="B19" s="7" t="s">
        <v>26</v>
      </c>
      <c r="C19" s="7" t="s">
        <v>32</v>
      </c>
      <c r="D19" s="14" t="n">
        <v>14</v>
      </c>
      <c r="E19" s="15" t="n">
        <v>4</v>
      </c>
      <c r="F19" s="16" t="n">
        <f aca="false">ROUND(D19/$E$2,1)</f>
        <v>2.8</v>
      </c>
      <c r="G19" s="17" t="n">
        <f aca="false">IF(E19&gt;=2,CEILING(D19/$E$2,1),"one-off: "&amp;TEXT(D19,"#,##0")&amp;" total")</f>
        <v>3</v>
      </c>
      <c r="H19" s="9" t="n">
        <v>210</v>
      </c>
      <c r="I19" s="9" t="n">
        <f aca="false">ROUND(H19/$E$2,0)</f>
        <v>42</v>
      </c>
      <c r="J19" s="5" t="str">
        <f aca="false">A19&amp;"|"&amp;C19</f>
        <v>Cucumber Leaf (1 in)|LG</v>
      </c>
    </row>
    <row r="20" customFormat="false" ht="15" hidden="false" customHeight="false" outlineLevel="0" collapsed="false">
      <c r="A20" s="7" t="s">
        <v>58</v>
      </c>
      <c r="B20" s="7" t="s">
        <v>26</v>
      </c>
      <c r="C20" s="7" t="s">
        <v>32</v>
      </c>
      <c r="D20" s="14" t="n">
        <v>12</v>
      </c>
      <c r="E20" s="15" t="n">
        <v>4</v>
      </c>
      <c r="F20" s="16" t="n">
        <f aca="false">ROUND(D20/$E$2,1)</f>
        <v>2.4</v>
      </c>
      <c r="G20" s="17" t="n">
        <f aca="false">IF(E20&gt;=2,CEILING(D20/$E$2,1),"one-off: "&amp;TEXT(D20,"#,##0")&amp;" total")</f>
        <v>3</v>
      </c>
      <c r="H20" s="9" t="n">
        <v>130</v>
      </c>
      <c r="I20" s="9" t="n">
        <f aca="false">ROUND(H20/$E$2,0)</f>
        <v>26</v>
      </c>
      <c r="J20" s="5" t="str">
        <f aca="false">A20&amp;"|"&amp;C20</f>
        <v>Mint|LG</v>
      </c>
    </row>
    <row r="21" customFormat="false" ht="15" hidden="false" customHeight="false" outlineLevel="0" collapsed="false">
      <c r="A21" s="7" t="s">
        <v>57</v>
      </c>
      <c r="B21" s="7" t="s">
        <v>26</v>
      </c>
      <c r="C21" s="7" t="s">
        <v>45</v>
      </c>
      <c r="D21" s="14" t="n">
        <v>10</v>
      </c>
      <c r="E21" s="15" t="n">
        <v>5</v>
      </c>
      <c r="F21" s="16" t="n">
        <f aca="false">ROUND(D21/$E$2,1)</f>
        <v>2</v>
      </c>
      <c r="G21" s="17" t="n">
        <f aca="false">IF(E21&gt;=2,CEILING(D21/$E$2,1),"one-off: "&amp;TEXT(D21,"#,##0")&amp;" total")</f>
        <v>2</v>
      </c>
      <c r="H21" s="9" t="n">
        <v>120</v>
      </c>
      <c r="I21" s="9" t="n">
        <f aca="false">ROUND(H21/$E$2,0)</f>
        <v>24</v>
      </c>
      <c r="J21" s="5" t="str">
        <f aca="false">A21&amp;"|"&amp;C21</f>
        <v>Shiso|SM</v>
      </c>
    </row>
    <row r="22" customFormat="false" ht="15" hidden="false" customHeight="false" outlineLevel="0" collapsed="false">
      <c r="A22" s="7" t="s">
        <v>56</v>
      </c>
      <c r="B22" s="7" t="s">
        <v>42</v>
      </c>
      <c r="C22" s="7" t="s">
        <v>45</v>
      </c>
      <c r="D22" s="14" t="n">
        <v>10</v>
      </c>
      <c r="E22" s="15" t="n">
        <v>4</v>
      </c>
      <c r="F22" s="16" t="n">
        <f aca="false">ROUND(D22/$E$2,1)</f>
        <v>2</v>
      </c>
      <c r="G22" s="17" t="n">
        <f aca="false">IF(E22&gt;=2,CEILING(D22/$E$2,1),"one-off: "&amp;TEXT(D22,"#,##0")&amp;" total")</f>
        <v>2</v>
      </c>
      <c r="H22" s="9" t="n">
        <v>60</v>
      </c>
      <c r="I22" s="9" t="n">
        <f aca="false">ROUND(H22/$E$2,0)</f>
        <v>12</v>
      </c>
      <c r="J22" s="5" t="str">
        <f aca="false">A22&amp;"|"&amp;C22</f>
        <v>Alyssum|SM</v>
      </c>
    </row>
    <row r="23" customFormat="false" ht="15" hidden="false" customHeight="false" outlineLevel="0" collapsed="false">
      <c r="A23" s="12" t="s">
        <v>107</v>
      </c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7" t="s">
        <v>28</v>
      </c>
      <c r="B24" s="7" t="s">
        <v>29</v>
      </c>
      <c r="C24" s="7" t="s">
        <v>30</v>
      </c>
      <c r="D24" s="14" t="n">
        <v>350</v>
      </c>
      <c r="E24" s="15" t="n">
        <v>3</v>
      </c>
      <c r="F24" s="16" t="n">
        <f aca="false">ROUND(D24/$E$2,1)</f>
        <v>70</v>
      </c>
      <c r="G24" s="17" t="n">
        <f aca="false">IF(E24&gt;=2,CEILING(D24/$E$2,1),"one-off: "&amp;TEXT(D24,"#,##0")&amp;" total")</f>
        <v>70</v>
      </c>
      <c r="H24" s="9" t="n">
        <v>3500</v>
      </c>
      <c r="I24" s="9" t="n">
        <f aca="false">ROUND(H24/$E$2,0)</f>
        <v>700</v>
      </c>
      <c r="J24" s="5" t="str">
        <f aca="false">A24&amp;"|"&amp;C24</f>
        <v>Peppers|lbs</v>
      </c>
    </row>
    <row r="25" customFormat="false" ht="15" hidden="false" customHeight="false" outlineLevel="0" collapsed="false">
      <c r="A25" s="7" t="s">
        <v>34</v>
      </c>
      <c r="B25" s="7" t="s">
        <v>29</v>
      </c>
      <c r="C25" s="7" t="s">
        <v>30</v>
      </c>
      <c r="D25" s="14" t="n">
        <v>375</v>
      </c>
      <c r="E25" s="15" t="n">
        <v>3</v>
      </c>
      <c r="F25" s="16" t="n">
        <f aca="false">ROUND(D25/$E$2,1)</f>
        <v>75</v>
      </c>
      <c r="G25" s="17" t="n">
        <f aca="false">IF(E25&gt;=2,CEILING(D25/$E$2,1),"one-off: "&amp;TEXT(D25,"#,##0")&amp;" total")</f>
        <v>75</v>
      </c>
      <c r="H25" s="9" t="n">
        <v>1725</v>
      </c>
      <c r="I25" s="9" t="n">
        <f aca="false">ROUND(H25/$E$2,0)</f>
        <v>345</v>
      </c>
      <c r="J25" s="5" t="str">
        <f aca="false">A25&amp;"|"&amp;C25</f>
        <v>Tomatoes|lbs</v>
      </c>
    </row>
    <row r="26" customFormat="false" ht="15" hidden="false" customHeight="false" outlineLevel="0" collapsed="false">
      <c r="A26" s="7" t="s">
        <v>57</v>
      </c>
      <c r="B26" s="7" t="s">
        <v>26</v>
      </c>
      <c r="C26" s="7" t="s">
        <v>32</v>
      </c>
      <c r="D26" s="14" t="n">
        <v>39</v>
      </c>
      <c r="E26" s="15" t="n">
        <v>3</v>
      </c>
      <c r="F26" s="16" t="n">
        <f aca="false">ROUND(D26/$E$2,1)</f>
        <v>7.8</v>
      </c>
      <c r="G26" s="17" t="n">
        <f aca="false">IF(E26&gt;=2,CEILING(D26/$E$2,1),"one-off: "&amp;TEXT(D26,"#,##0")&amp;" total")</f>
        <v>8</v>
      </c>
      <c r="H26" s="9" t="n">
        <v>585</v>
      </c>
      <c r="I26" s="9" t="n">
        <f aca="false">ROUND(H26/$E$2,0)</f>
        <v>117</v>
      </c>
      <c r="J26" s="5" t="str">
        <f aca="false">A26&amp;"|"&amp;C26</f>
        <v>Shiso|LG</v>
      </c>
    </row>
    <row r="27" customFormat="false" ht="15" hidden="false" customHeight="false" outlineLevel="0" collapsed="false">
      <c r="A27" s="7" t="s">
        <v>34</v>
      </c>
      <c r="B27" s="7" t="s">
        <v>29</v>
      </c>
      <c r="C27" s="7" t="s">
        <v>32</v>
      </c>
      <c r="D27" s="14" t="n">
        <v>55</v>
      </c>
      <c r="E27" s="15" t="n">
        <v>2</v>
      </c>
      <c r="F27" s="16" t="n">
        <f aca="false">ROUND(D27/$E$2,1)</f>
        <v>11</v>
      </c>
      <c r="G27" s="17" t="n">
        <f aca="false">IF(E27&gt;=2,CEILING(D27/$E$2,1),"one-off: "&amp;TEXT(D27,"#,##0")&amp;" total")</f>
        <v>11</v>
      </c>
      <c r="H27" s="9" t="n">
        <v>550</v>
      </c>
      <c r="I27" s="9" t="n">
        <f aca="false">ROUND(H27/$E$2,0)</f>
        <v>110</v>
      </c>
      <c r="J27" s="5" t="str">
        <f aca="false">A27&amp;"|"&amp;C27</f>
        <v>Tomatoes|LG</v>
      </c>
    </row>
    <row r="28" customFormat="false" ht="15" hidden="false" customHeight="false" outlineLevel="0" collapsed="false">
      <c r="A28" s="7" t="s">
        <v>60</v>
      </c>
      <c r="B28" s="7" t="s">
        <v>26</v>
      </c>
      <c r="C28" s="7" t="s">
        <v>40</v>
      </c>
      <c r="D28" s="14" t="n">
        <v>21</v>
      </c>
      <c r="E28" s="15" t="n">
        <v>3</v>
      </c>
      <c r="F28" s="16" t="n">
        <f aca="false">ROUND(D28/$E$2,1)</f>
        <v>4.2</v>
      </c>
      <c r="G28" s="17" t="n">
        <f aca="false">IF(E28&gt;=2,CEILING(D28/$E$2,1),"one-off: "&amp;TEXT(D28,"#,##0")&amp;" total")</f>
        <v>5</v>
      </c>
      <c r="H28" s="9" t="n">
        <v>420</v>
      </c>
      <c r="I28" s="9" t="n">
        <f aca="false">ROUND(H28/$E$2,0)</f>
        <v>84</v>
      </c>
      <c r="J28" s="5" t="str">
        <f aca="false">A28&amp;"|"&amp;C28</f>
        <v>Evergreen Branches|box</v>
      </c>
    </row>
    <row r="29" customFormat="false" ht="15" hidden="false" customHeight="false" outlineLevel="0" collapsed="false">
      <c r="A29" s="7" t="s">
        <v>37</v>
      </c>
      <c r="B29" s="7" t="s">
        <v>29</v>
      </c>
      <c r="C29" s="7" t="s">
        <v>32</v>
      </c>
      <c r="D29" s="14" t="n">
        <v>12.5</v>
      </c>
      <c r="E29" s="15" t="n">
        <v>2</v>
      </c>
      <c r="F29" s="16" t="n">
        <f aca="false">ROUND(D29/$E$2,1)</f>
        <v>2.5</v>
      </c>
      <c r="G29" s="17" t="n">
        <f aca="false">IF(E29&gt;=2,CEILING(D29/$E$2,1),"one-off: "&amp;TEXT(D29,"#,##0")&amp;" total")</f>
        <v>3</v>
      </c>
      <c r="H29" s="9" t="n">
        <v>283</v>
      </c>
      <c r="I29" s="9" t="n">
        <f aca="false">ROUND(H29/$E$2,0)</f>
        <v>57</v>
      </c>
      <c r="J29" s="5" t="str">
        <f aca="false">A29&amp;"|"&amp;C29</f>
        <v>Carrots|LG</v>
      </c>
    </row>
    <row r="30" customFormat="false" ht="15" hidden="false" customHeight="false" outlineLevel="0" collapsed="false">
      <c r="A30" s="7" t="s">
        <v>64</v>
      </c>
      <c r="B30" s="7" t="s">
        <v>36</v>
      </c>
      <c r="C30" s="7" t="s">
        <v>32</v>
      </c>
      <c r="D30" s="14" t="n">
        <v>14</v>
      </c>
      <c r="E30" s="15" t="n">
        <v>2</v>
      </c>
      <c r="F30" s="16" t="n">
        <f aca="false">ROUND(D30/$E$2,1)</f>
        <v>2.8</v>
      </c>
      <c r="G30" s="17" t="n">
        <f aca="false">IF(E30&gt;=2,CEILING(D30/$E$2,1),"one-off: "&amp;TEXT(D30,"#,##0")&amp;" total")</f>
        <v>3</v>
      </c>
      <c r="H30" s="9" t="n">
        <v>210</v>
      </c>
      <c r="I30" s="9" t="n">
        <f aca="false">ROUND(H30/$E$2,0)</f>
        <v>42</v>
      </c>
      <c r="J30" s="5" t="str">
        <f aca="false">A30&amp;"|"&amp;C30</f>
        <v>Amaranth|LG</v>
      </c>
    </row>
    <row r="31" customFormat="false" ht="15" hidden="false" customHeight="false" outlineLevel="0" collapsed="false">
      <c r="A31" s="7" t="s">
        <v>61</v>
      </c>
      <c r="B31" s="7" t="s">
        <v>42</v>
      </c>
      <c r="C31" s="7" t="s">
        <v>32</v>
      </c>
      <c r="D31" s="14" t="n">
        <v>8.5</v>
      </c>
      <c r="E31" s="15" t="n">
        <v>3</v>
      </c>
      <c r="F31" s="16" t="n">
        <f aca="false">ROUND(D31/$E$2,1)</f>
        <v>1.7</v>
      </c>
      <c r="G31" s="17" t="n">
        <f aca="false">IF(E31&gt;=2,CEILING(D31/$E$2,1),"one-off: "&amp;TEXT(D31,"#,##0")&amp;" total")</f>
        <v>2</v>
      </c>
      <c r="H31" s="9" t="n">
        <v>170</v>
      </c>
      <c r="I31" s="9" t="n">
        <f aca="false">ROUND(H31/$E$2,0)</f>
        <v>34</v>
      </c>
      <c r="J31" s="5" t="str">
        <f aca="false">A31&amp;"|"&amp;C31</f>
        <v>Society Garlic|LG</v>
      </c>
    </row>
    <row r="32" customFormat="false" ht="15" hidden="false" customHeight="false" outlineLevel="0" collapsed="false">
      <c r="A32" s="7" t="s">
        <v>66</v>
      </c>
      <c r="B32" s="7" t="s">
        <v>42</v>
      </c>
      <c r="C32" s="7" t="s">
        <v>32</v>
      </c>
      <c r="D32" s="14" t="n">
        <v>14</v>
      </c>
      <c r="E32" s="15" t="n">
        <v>3</v>
      </c>
      <c r="F32" s="16" t="n">
        <f aca="false">ROUND(D32/$E$2,1)</f>
        <v>2.8</v>
      </c>
      <c r="G32" s="17" t="n">
        <f aca="false">IF(E32&gt;=2,CEILING(D32/$E$2,1),"one-off: "&amp;TEXT(D32,"#,##0")&amp;" total")</f>
        <v>3</v>
      </c>
      <c r="H32" s="9" t="n">
        <v>168</v>
      </c>
      <c r="I32" s="9" t="n">
        <f aca="false">ROUND(H32/$E$2,0)</f>
        <v>34</v>
      </c>
      <c r="J32" s="5" t="str">
        <f aca="false">A32&amp;"|"&amp;C32</f>
        <v>Cosmos|LG</v>
      </c>
    </row>
    <row r="33" customFormat="false" ht="15" hidden="false" customHeight="false" outlineLevel="0" collapsed="false">
      <c r="A33" s="7" t="s">
        <v>63</v>
      </c>
      <c r="B33" s="7" t="s">
        <v>36</v>
      </c>
      <c r="C33" s="7" t="s">
        <v>32</v>
      </c>
      <c r="D33" s="14" t="n">
        <v>11</v>
      </c>
      <c r="E33" s="15" t="n">
        <v>3</v>
      </c>
      <c r="F33" s="16" t="n">
        <f aca="false">ROUND(D33/$E$2,1)</f>
        <v>2.2</v>
      </c>
      <c r="G33" s="17" t="n">
        <f aca="false">IF(E33&gt;=2,CEILING(D33/$E$2,1),"one-off: "&amp;TEXT(D33,"#,##0")&amp;" total")</f>
        <v>3</v>
      </c>
      <c r="H33" s="9" t="n">
        <v>165</v>
      </c>
      <c r="I33" s="9" t="n">
        <f aca="false">ROUND(H33/$E$2,0)</f>
        <v>33</v>
      </c>
      <c r="J33" s="5" t="str">
        <f aca="false">A33&amp;"|"&amp;C33</f>
        <v>Fennel|LG</v>
      </c>
    </row>
    <row r="34" customFormat="false" ht="15" hidden="false" customHeight="false" outlineLevel="0" collapsed="false">
      <c r="A34" s="7" t="s">
        <v>62</v>
      </c>
      <c r="B34" s="7" t="s">
        <v>29</v>
      </c>
      <c r="C34" s="7" t="s">
        <v>30</v>
      </c>
      <c r="D34" s="14" t="n">
        <v>20</v>
      </c>
      <c r="E34" s="15" t="n">
        <v>2</v>
      </c>
      <c r="F34" s="16" t="n">
        <f aca="false">ROUND(D34/$E$2,1)</f>
        <v>4</v>
      </c>
      <c r="G34" s="17" t="n">
        <f aca="false">IF(E34&gt;=2,CEILING(D34/$E$2,1),"one-off: "&amp;TEXT(D34,"#,##0")&amp;" total")</f>
        <v>4</v>
      </c>
      <c r="H34" s="9" t="n">
        <v>160</v>
      </c>
      <c r="I34" s="9" t="n">
        <f aca="false">ROUND(H34/$E$2,0)</f>
        <v>32</v>
      </c>
      <c r="J34" s="5" t="str">
        <f aca="false">A34&amp;"|"&amp;C34</f>
        <v>Eggplant|lbs</v>
      </c>
    </row>
    <row r="35" customFormat="false" ht="15" hidden="false" customHeight="false" outlineLevel="0" collapsed="false">
      <c r="A35" s="7" t="s">
        <v>62</v>
      </c>
      <c r="B35" s="7" t="s">
        <v>29</v>
      </c>
      <c r="C35" s="7" t="s">
        <v>27</v>
      </c>
      <c r="D35" s="14" t="n">
        <v>41</v>
      </c>
      <c r="E35" s="15" t="n">
        <v>3</v>
      </c>
      <c r="F35" s="16" t="n">
        <f aca="false">ROUND(D35/$E$2,1)</f>
        <v>8.2</v>
      </c>
      <c r="G35" s="17" t="n">
        <f aca="false">IF(E35&gt;=2,CEILING(D35/$E$2,1),"one-off: "&amp;TEXT(D35,"#,##0")&amp;" total")</f>
        <v>9</v>
      </c>
      <c r="H35" s="9" t="n">
        <v>123</v>
      </c>
      <c r="I35" s="9" t="n">
        <f aca="false">ROUND(H35/$E$2,0)</f>
        <v>25</v>
      </c>
      <c r="J35" s="5" t="str">
        <f aca="false">A35&amp;"|"&amp;C35</f>
        <v>Eggplant|each</v>
      </c>
    </row>
    <row r="36" customFormat="false" ht="15" hidden="false" customHeight="false" outlineLevel="0" collapsed="false">
      <c r="A36" s="7" t="s">
        <v>77</v>
      </c>
      <c r="B36" s="7" t="s">
        <v>42</v>
      </c>
      <c r="C36" s="7" t="s">
        <v>32</v>
      </c>
      <c r="D36" s="14" t="n">
        <v>8</v>
      </c>
      <c r="E36" s="15" t="n">
        <v>2</v>
      </c>
      <c r="F36" s="16" t="n">
        <f aca="false">ROUND(D36/$E$2,1)</f>
        <v>1.6</v>
      </c>
      <c r="G36" s="17" t="n">
        <f aca="false">IF(E36&gt;=2,CEILING(D36/$E$2,1),"one-off: "&amp;TEXT(D36,"#,##0")&amp;" total")</f>
        <v>2</v>
      </c>
      <c r="H36" s="9" t="n">
        <v>120</v>
      </c>
      <c r="I36" s="9" t="n">
        <f aca="false">ROUND(H36/$E$2,0)</f>
        <v>24</v>
      </c>
      <c r="J36" s="5" t="str">
        <f aca="false">A36&amp;"|"&amp;C36</f>
        <v>Black Eyed Susans|LG</v>
      </c>
    </row>
    <row r="37" customFormat="false" ht="15" hidden="false" customHeight="false" outlineLevel="0" collapsed="false">
      <c r="A37" s="7" t="s">
        <v>68</v>
      </c>
      <c r="B37" s="7" t="s">
        <v>29</v>
      </c>
      <c r="C37" s="7" t="s">
        <v>27</v>
      </c>
      <c r="D37" s="14" t="n">
        <v>18</v>
      </c>
      <c r="E37" s="15" t="n">
        <v>3</v>
      </c>
      <c r="F37" s="16" t="n">
        <f aca="false">ROUND(D37/$E$2,1)</f>
        <v>3.6</v>
      </c>
      <c r="G37" s="17" t="n">
        <f aca="false">IF(E37&gt;=2,CEILING(D37/$E$2,1),"one-off: "&amp;TEXT(D37,"#,##0")&amp;" total")</f>
        <v>4</v>
      </c>
      <c r="H37" s="9" t="n">
        <v>115</v>
      </c>
      <c r="I37" s="9" t="n">
        <f aca="false">ROUND(H37/$E$2,0)</f>
        <v>23</v>
      </c>
      <c r="J37" s="5" t="str">
        <f aca="false">A37&amp;"|"&amp;C37</f>
        <v>Quince|each</v>
      </c>
    </row>
    <row r="38" customFormat="false" ht="15" hidden="false" customHeight="false" outlineLevel="0" collapsed="false">
      <c r="A38" s="7" t="s">
        <v>70</v>
      </c>
      <c r="B38" s="7" t="s">
        <v>42</v>
      </c>
      <c r="C38" s="7" t="s">
        <v>32</v>
      </c>
      <c r="D38" s="14" t="n">
        <v>7</v>
      </c>
      <c r="E38" s="15" t="n">
        <v>2</v>
      </c>
      <c r="F38" s="16" t="n">
        <f aca="false">ROUND(D38/$E$2,1)</f>
        <v>1.4</v>
      </c>
      <c r="G38" s="17" t="n">
        <f aca="false">IF(E38&gt;=2,CEILING(D38/$E$2,1),"one-off: "&amp;TEXT(D38,"#,##0")&amp;" total")</f>
        <v>2</v>
      </c>
      <c r="H38" s="9" t="n">
        <v>105</v>
      </c>
      <c r="I38" s="9" t="n">
        <f aca="false">ROUND(H38/$E$2,0)</f>
        <v>21</v>
      </c>
      <c r="J38" s="5" t="str">
        <f aca="false">A38&amp;"|"&amp;C38</f>
        <v>Yarrow|LG</v>
      </c>
    </row>
    <row r="39" customFormat="false" ht="15" hidden="false" customHeight="false" outlineLevel="0" collapsed="false">
      <c r="A39" s="7" t="s">
        <v>69</v>
      </c>
      <c r="B39" s="7" t="s">
        <v>26</v>
      </c>
      <c r="C39" s="7" t="s">
        <v>32</v>
      </c>
      <c r="D39" s="14" t="n">
        <v>8</v>
      </c>
      <c r="E39" s="15" t="n">
        <v>3</v>
      </c>
      <c r="F39" s="16" t="n">
        <f aca="false">ROUND(D39/$E$2,1)</f>
        <v>1.6</v>
      </c>
      <c r="G39" s="17" t="n">
        <f aca="false">IF(E39&gt;=2,CEILING(D39/$E$2,1),"one-off: "&amp;TEXT(D39,"#,##0")&amp;" total")</f>
        <v>2</v>
      </c>
      <c r="H39" s="9" t="n">
        <v>96</v>
      </c>
      <c r="I39" s="9" t="n">
        <f aca="false">ROUND(H39/$E$2,0)</f>
        <v>19</v>
      </c>
      <c r="J39" s="5" t="str">
        <f aca="false">A39&amp;"|"&amp;C39</f>
        <v>Field Pea Tendrils|LG</v>
      </c>
    </row>
    <row r="40" customFormat="false" ht="15" hidden="false" customHeight="false" outlineLevel="0" collapsed="false">
      <c r="A40" s="7" t="s">
        <v>72</v>
      </c>
      <c r="B40" s="7" t="s">
        <v>26</v>
      </c>
      <c r="C40" s="7" t="s">
        <v>27</v>
      </c>
      <c r="D40" s="14" t="n">
        <v>400</v>
      </c>
      <c r="E40" s="15" t="n">
        <v>2</v>
      </c>
      <c r="F40" s="16" t="n">
        <f aca="false">ROUND(D40/$E$2,1)</f>
        <v>80</v>
      </c>
      <c r="G40" s="17" t="n">
        <f aca="false">IF(E40&gt;=2,CEILING(D40/$E$2,1),"one-off: "&amp;TEXT(D40,"#,##0")&amp;" total")</f>
        <v>80</v>
      </c>
      <c r="H40" s="9" t="n">
        <v>80</v>
      </c>
      <c r="I40" s="9" t="n">
        <f aca="false">ROUND(H40/$E$2,0)</f>
        <v>16</v>
      </c>
      <c r="J40" s="5" t="str">
        <f aca="false">A40&amp;"|"&amp;C40</f>
        <v>Rosemary|each</v>
      </c>
    </row>
    <row r="41" customFormat="false" ht="15" hidden="false" customHeight="false" outlineLevel="0" collapsed="false">
      <c r="A41" s="7" t="s">
        <v>59</v>
      </c>
      <c r="B41" s="7" t="s">
        <v>29</v>
      </c>
      <c r="C41" s="7" t="s">
        <v>32</v>
      </c>
      <c r="D41" s="14" t="n">
        <v>3</v>
      </c>
      <c r="E41" s="15" t="n">
        <v>3</v>
      </c>
      <c r="F41" s="16" t="n">
        <f aca="false">ROUND(D41/$E$2,1)</f>
        <v>0.6</v>
      </c>
      <c r="G41" s="17" t="n">
        <f aca="false">IF(E41&gt;=2,CEILING(D41/$E$2,1),"one-off: "&amp;TEXT(D41,"#,##0")&amp;" total")</f>
        <v>1</v>
      </c>
      <c r="H41" s="9" t="n">
        <v>45</v>
      </c>
      <c r="I41" s="9" t="n">
        <f aca="false">ROUND(H41/$E$2,0)</f>
        <v>9</v>
      </c>
      <c r="J41" s="5" t="str">
        <f aca="false">A41&amp;"|"&amp;C41</f>
        <v>New Zealand Spinach|LG</v>
      </c>
    </row>
    <row r="42" customFormat="false" ht="15" hidden="false" customHeight="false" outlineLevel="0" collapsed="false">
      <c r="A42" s="7" t="s">
        <v>54</v>
      </c>
      <c r="B42" s="7" t="s">
        <v>26</v>
      </c>
      <c r="C42" s="7" t="s">
        <v>32</v>
      </c>
      <c r="D42" s="14" t="n">
        <v>2</v>
      </c>
      <c r="E42" s="15" t="n">
        <v>2</v>
      </c>
      <c r="F42" s="16" t="n">
        <f aca="false">ROUND(D42/$E$2,1)</f>
        <v>0.4</v>
      </c>
      <c r="G42" s="17" t="n">
        <f aca="false">IF(E42&gt;=2,CEILING(D42/$E$2,1),"one-off: "&amp;TEXT(D42,"#,##0")&amp;" total")</f>
        <v>1</v>
      </c>
      <c r="H42" s="9" t="n">
        <v>30</v>
      </c>
      <c r="I42" s="9" t="n">
        <f aca="false">ROUND(H42/$E$2,0)</f>
        <v>6</v>
      </c>
      <c r="J42" s="5" t="str">
        <f aca="false">A42&amp;"|"&amp;C42</f>
        <v>Aptenia|LG</v>
      </c>
    </row>
    <row r="43" customFormat="false" ht="15" hidden="false" customHeight="false" outlineLevel="0" collapsed="false">
      <c r="A43" s="12" t="s">
        <v>108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7" t="s">
        <v>41</v>
      </c>
      <c r="B44" s="7" t="s">
        <v>42</v>
      </c>
      <c r="C44" s="7" t="s">
        <v>32</v>
      </c>
      <c r="D44" s="14" t="n">
        <v>10</v>
      </c>
      <c r="E44" s="15" t="n">
        <v>1</v>
      </c>
      <c r="F44" s="16" t="n">
        <f aca="false">ROUND(D44/$E$2,1)</f>
        <v>2</v>
      </c>
      <c r="G44" s="17" t="str">
        <f aca="false">IF(E44&gt;=2,CEILING(D44/$E$2,1),"one-off: "&amp;TEXT(D44,"#,##0")&amp;" total")</f>
        <v>one-off: 10 total</v>
      </c>
      <c r="H44" s="9" t="n">
        <v>250</v>
      </c>
      <c r="I44" s="9" t="n">
        <f aca="false">ROUND(H44/$E$2,0)</f>
        <v>50</v>
      </c>
      <c r="J44" s="5" t="str">
        <f aca="false">A44&amp;"|"&amp;C44</f>
        <v>Radish|LG</v>
      </c>
    </row>
    <row r="45" customFormat="false" ht="15" hidden="false" customHeight="false" outlineLevel="0" collapsed="false">
      <c r="A45" s="7" t="s">
        <v>46</v>
      </c>
      <c r="B45" s="7" t="s">
        <v>29</v>
      </c>
      <c r="C45" s="7" t="s">
        <v>32</v>
      </c>
      <c r="D45" s="14" t="n">
        <v>10</v>
      </c>
      <c r="E45" s="15" t="n">
        <v>1</v>
      </c>
      <c r="F45" s="16" t="n">
        <f aca="false">ROUND(D45/$E$2,1)</f>
        <v>2</v>
      </c>
      <c r="G45" s="17" t="str">
        <f aca="false">IF(E45&gt;=2,CEILING(D45/$E$2,1),"one-off: "&amp;TEXT(D45,"#,##0")&amp;" total")</f>
        <v>one-off: 10 total</v>
      </c>
      <c r="H45" s="9" t="n">
        <v>250</v>
      </c>
      <c r="I45" s="9" t="n">
        <f aca="false">ROUND(H45/$E$2,0)</f>
        <v>50</v>
      </c>
      <c r="J45" s="5" t="str">
        <f aca="false">A45&amp;"|"&amp;C45</f>
        <v>Figs|LG</v>
      </c>
    </row>
    <row r="46" customFormat="false" ht="15" hidden="false" customHeight="false" outlineLevel="0" collapsed="false">
      <c r="A46" s="7" t="s">
        <v>76</v>
      </c>
      <c r="B46" s="7" t="s">
        <v>29</v>
      </c>
      <c r="C46" s="7" t="s">
        <v>30</v>
      </c>
      <c r="D46" s="14" t="n">
        <v>20</v>
      </c>
      <c r="E46" s="15" t="n">
        <v>1</v>
      </c>
      <c r="F46" s="16" t="n">
        <f aca="false">ROUND(D46/$E$2,1)</f>
        <v>4</v>
      </c>
      <c r="G46" s="17" t="str">
        <f aca="false">IF(E46&gt;=2,CEILING(D46/$E$2,1),"one-off: "&amp;TEXT(D46,"#,##0")&amp;" total")</f>
        <v>one-off: 20 total</v>
      </c>
      <c r="H46" s="9" t="n">
        <v>100</v>
      </c>
      <c r="I46" s="9" t="n">
        <f aca="false">ROUND(H46/$E$2,0)</f>
        <v>20</v>
      </c>
      <c r="J46" s="5" t="str">
        <f aca="false">A46&amp;"|"&amp;C46</f>
        <v>Peaches|lbs</v>
      </c>
    </row>
    <row r="47" customFormat="false" ht="15" hidden="false" customHeight="false" outlineLevel="0" collapsed="false">
      <c r="A47" s="7" t="s">
        <v>67</v>
      </c>
      <c r="B47" s="7" t="s">
        <v>36</v>
      </c>
      <c r="C47" s="7" t="s">
        <v>32</v>
      </c>
      <c r="D47" s="14" t="n">
        <v>6</v>
      </c>
      <c r="E47" s="15" t="n">
        <v>1</v>
      </c>
      <c r="F47" s="16" t="n">
        <f aca="false">ROUND(D47/$E$2,1)</f>
        <v>1.2</v>
      </c>
      <c r="G47" s="17" t="str">
        <f aca="false">IF(E47&gt;=2,CEILING(D47/$E$2,1),"one-off: "&amp;TEXT(D47,"#,##0")&amp;" total")</f>
        <v>one-off: 6 total</v>
      </c>
      <c r="H47" s="9" t="n">
        <v>90</v>
      </c>
      <c r="I47" s="9" t="n">
        <f aca="false">ROUND(H47/$E$2,0)</f>
        <v>18</v>
      </c>
      <c r="J47" s="5" t="str">
        <f aca="false">A47&amp;"|"&amp;C47</f>
        <v>Squash Tendril|LG</v>
      </c>
    </row>
    <row r="48" customFormat="false" ht="15" hidden="false" customHeight="false" outlineLevel="0" collapsed="false">
      <c r="A48" s="7" t="s">
        <v>85</v>
      </c>
      <c r="B48" s="7" t="s">
        <v>26</v>
      </c>
      <c r="C48" s="7" t="s">
        <v>40</v>
      </c>
      <c r="D48" s="14" t="n">
        <v>3</v>
      </c>
      <c r="E48" s="15" t="n">
        <v>1</v>
      </c>
      <c r="F48" s="16" t="n">
        <f aca="false">ROUND(D48/$E$2,1)</f>
        <v>0.6</v>
      </c>
      <c r="G48" s="17" t="str">
        <f aca="false">IF(E48&gt;=2,CEILING(D48/$E$2,1),"one-off: "&amp;TEXT(D48,"#,##0")&amp;" total")</f>
        <v>one-off: 3 total</v>
      </c>
      <c r="H48" s="9" t="n">
        <v>60</v>
      </c>
      <c r="I48" s="9" t="n">
        <f aca="false">ROUND(H48/$E$2,0)</f>
        <v>12</v>
      </c>
      <c r="J48" s="5" t="str">
        <f aca="false">A48&amp;"|"&amp;C48</f>
        <v>Olive|box</v>
      </c>
    </row>
    <row r="49" customFormat="false" ht="15" hidden="false" customHeight="false" outlineLevel="0" collapsed="false">
      <c r="A49" s="7" t="s">
        <v>88</v>
      </c>
      <c r="B49" s="7" t="s">
        <v>26</v>
      </c>
      <c r="C49" s="7" t="s">
        <v>32</v>
      </c>
      <c r="D49" s="14" t="n">
        <v>1</v>
      </c>
      <c r="E49" s="15" t="n">
        <v>1</v>
      </c>
      <c r="F49" s="16" t="n">
        <f aca="false">ROUND(D49/$E$2,1)</f>
        <v>0.2</v>
      </c>
      <c r="G49" s="17" t="str">
        <f aca="false">IF(E49&gt;=2,CEILING(D49/$E$2,1),"one-off: "&amp;TEXT(D49,"#,##0")&amp;" total")</f>
        <v>one-off: 1 total</v>
      </c>
      <c r="H49" s="9" t="n">
        <v>40</v>
      </c>
      <c r="I49" s="9" t="n">
        <f aca="false">ROUND(H49/$E$2,0)</f>
        <v>8</v>
      </c>
      <c r="J49" s="5" t="str">
        <f aca="false">A49&amp;"|"&amp;C49</f>
        <v>Wormwood|LG</v>
      </c>
    </row>
    <row r="50" customFormat="false" ht="15" hidden="false" customHeight="false" outlineLevel="0" collapsed="false">
      <c r="A50" s="7" t="s">
        <v>79</v>
      </c>
      <c r="B50" s="7" t="s">
        <v>26</v>
      </c>
      <c r="C50" s="7" t="s">
        <v>32</v>
      </c>
      <c r="D50" s="14" t="n">
        <v>2</v>
      </c>
      <c r="E50" s="15" t="n">
        <v>1</v>
      </c>
      <c r="F50" s="16" t="n">
        <f aca="false">ROUND(D50/$E$2,1)</f>
        <v>0.4</v>
      </c>
      <c r="G50" s="17" t="str">
        <f aca="false">IF(E50&gt;=2,CEILING(D50/$E$2,1),"one-off: "&amp;TEXT(D50,"#,##0")&amp;" total")</f>
        <v>one-off: 2 total</v>
      </c>
      <c r="H50" s="9" t="n">
        <v>40</v>
      </c>
      <c r="I50" s="9" t="n">
        <f aca="false">ROUND(H50/$E$2,0)</f>
        <v>8</v>
      </c>
      <c r="J50" s="5" t="str">
        <f aca="false">A50&amp;"|"&amp;C50</f>
        <v>Bay Leaf|LG</v>
      </c>
    </row>
    <row r="51" customFormat="false" ht="15" hidden="false" customHeight="false" outlineLevel="0" collapsed="false">
      <c r="A51" s="7" t="s">
        <v>90</v>
      </c>
      <c r="B51" s="7" t="s">
        <v>29</v>
      </c>
      <c r="C51" s="7" t="s">
        <v>30</v>
      </c>
      <c r="D51" s="14" t="n">
        <v>30</v>
      </c>
      <c r="E51" s="15" t="n">
        <v>1</v>
      </c>
      <c r="F51" s="16" t="n">
        <f aca="false">ROUND(D51/$E$2,1)</f>
        <v>6</v>
      </c>
      <c r="G51" s="17" t="str">
        <f aca="false">IF(E51&gt;=2,CEILING(D51/$E$2,1),"one-off: "&amp;TEXT(D51,"#,##0")&amp;" total")</f>
        <v>one-off: 30 total</v>
      </c>
      <c r="H51" s="9" t="n">
        <v>38</v>
      </c>
      <c r="I51" s="9" t="n">
        <f aca="false">ROUND(H51/$E$2,0)</f>
        <v>8</v>
      </c>
      <c r="J51" s="5" t="str">
        <f aca="false">A51&amp;"|"&amp;C51</f>
        <v>Pears|lbs</v>
      </c>
    </row>
    <row r="52" customFormat="false" ht="15" hidden="false" customHeight="false" outlineLevel="0" collapsed="false">
      <c r="A52" s="7" t="s">
        <v>41</v>
      </c>
      <c r="B52" s="7" t="s">
        <v>42</v>
      </c>
      <c r="C52" s="7" t="s">
        <v>45</v>
      </c>
      <c r="D52" s="14" t="n">
        <v>3</v>
      </c>
      <c r="E52" s="15" t="n">
        <v>1</v>
      </c>
      <c r="F52" s="16" t="n">
        <f aca="false">ROUND(D52/$E$2,1)</f>
        <v>0.6</v>
      </c>
      <c r="G52" s="17" t="str">
        <f aca="false">IF(E52&gt;=2,CEILING(D52/$E$2,1),"one-off: "&amp;TEXT(D52,"#,##0")&amp;" total")</f>
        <v>one-off: 3 total</v>
      </c>
      <c r="H52" s="9" t="n">
        <v>30</v>
      </c>
      <c r="I52" s="9" t="n">
        <f aca="false">ROUND(H52/$E$2,0)</f>
        <v>6</v>
      </c>
      <c r="J52" s="5" t="str">
        <f aca="false">A52&amp;"|"&amp;C52</f>
        <v>Radish|SM</v>
      </c>
    </row>
    <row r="53" customFormat="false" ht="15" hidden="false" customHeight="false" outlineLevel="0" collapsed="false">
      <c r="A53" s="7" t="s">
        <v>91</v>
      </c>
      <c r="B53" s="7" t="s">
        <v>42</v>
      </c>
      <c r="C53" s="7" t="s">
        <v>32</v>
      </c>
      <c r="D53" s="14" t="n">
        <v>2</v>
      </c>
      <c r="E53" s="15" t="n">
        <v>1</v>
      </c>
      <c r="F53" s="16" t="n">
        <f aca="false">ROUND(D53/$E$2,1)</f>
        <v>0.4</v>
      </c>
      <c r="G53" s="17" t="str">
        <f aca="false">IF(E53&gt;=2,CEILING(D53/$E$2,1),"one-off: "&amp;TEXT(D53,"#,##0")&amp;" total")</f>
        <v>one-off: 2 total</v>
      </c>
      <c r="H53" s="9" t="n">
        <v>24</v>
      </c>
      <c r="I53" s="9" t="n">
        <f aca="false">ROUND(H53/$E$2,0)</f>
        <v>5</v>
      </c>
      <c r="J53" s="5" t="str">
        <f aca="false">A53&amp;"|"&amp;C53</f>
        <v>Thyme|LG</v>
      </c>
    </row>
    <row r="54" customFormat="false" ht="15" hidden="false" customHeight="false" outlineLevel="0" collapsed="false">
      <c r="A54" s="7" t="s">
        <v>49</v>
      </c>
      <c r="B54" s="7" t="s">
        <v>42</v>
      </c>
      <c r="C54" s="7" t="s">
        <v>45</v>
      </c>
      <c r="D54" s="14" t="n">
        <v>2</v>
      </c>
      <c r="E54" s="15" t="n">
        <v>1</v>
      </c>
      <c r="F54" s="16" t="n">
        <f aca="false">ROUND(D54/$E$2,1)</f>
        <v>0.4</v>
      </c>
      <c r="G54" s="17" t="str">
        <f aca="false">IF(E54&gt;=2,CEILING(D54/$E$2,1),"one-off: "&amp;TEXT(D54,"#,##0")&amp;" total")</f>
        <v>one-off: 2 total</v>
      </c>
      <c r="H54" s="9" t="n">
        <v>24</v>
      </c>
      <c r="I54" s="9" t="n">
        <f aca="false">ROUND(H54/$E$2,0)</f>
        <v>5</v>
      </c>
      <c r="J54" s="5" t="str">
        <f aca="false">A54&amp;"|"&amp;C54</f>
        <v>Forget-Me-Nots|SM</v>
      </c>
    </row>
    <row r="55" customFormat="false" ht="15" hidden="false" customHeight="false" outlineLevel="0" collapsed="false">
      <c r="A55" s="7" t="s">
        <v>51</v>
      </c>
      <c r="B55" s="7" t="s">
        <v>26</v>
      </c>
      <c r="C55" s="7" t="s">
        <v>32</v>
      </c>
      <c r="D55" s="14" t="n">
        <v>1</v>
      </c>
      <c r="E55" s="15" t="n">
        <v>1</v>
      </c>
      <c r="F55" s="16" t="n">
        <f aca="false">ROUND(D55/$E$2,1)</f>
        <v>0.2</v>
      </c>
      <c r="G55" s="17" t="str">
        <f aca="false">IF(E55&gt;=2,CEILING(D55/$E$2,1),"one-off: "&amp;TEXT(D55,"#,##0")&amp;" total")</f>
        <v>one-off: 1 total</v>
      </c>
      <c r="H55" s="9" t="n">
        <v>20</v>
      </c>
      <c r="I55" s="9" t="n">
        <f aca="false">ROUND(H55/$E$2,0)</f>
        <v>4</v>
      </c>
      <c r="J55" s="5" t="str">
        <f aca="false">A55&amp;"|"&amp;C55</f>
        <v>Kale|LG</v>
      </c>
    </row>
    <row r="56" customFormat="false" ht="15" hidden="false" customHeight="false" outlineLevel="0" collapsed="false">
      <c r="A56" s="7" t="s">
        <v>94</v>
      </c>
      <c r="B56" s="7" t="s">
        <v>26</v>
      </c>
      <c r="C56" s="7" t="s">
        <v>32</v>
      </c>
      <c r="D56" s="14" t="n">
        <v>1</v>
      </c>
      <c r="E56" s="15" t="n">
        <v>1</v>
      </c>
      <c r="F56" s="16" t="n">
        <f aca="false">ROUND(D56/$E$2,1)</f>
        <v>0.2</v>
      </c>
      <c r="G56" s="17" t="str">
        <f aca="false">IF(E56&gt;=2,CEILING(D56/$E$2,1),"one-off: "&amp;TEXT(D56,"#,##0")&amp;" total")</f>
        <v>one-off: 1 total</v>
      </c>
      <c r="H56" s="9" t="n">
        <v>12</v>
      </c>
      <c r="I56" s="9" t="n">
        <f aca="false">ROUND(H56/$E$2,0)</f>
        <v>2</v>
      </c>
      <c r="J56" s="5" t="str">
        <f aca="false">A56&amp;"|"&amp;C56</f>
        <v>Tarragon|LG</v>
      </c>
    </row>
    <row r="57" customFormat="false" ht="15" hidden="false" customHeight="false" outlineLevel="0" collapsed="false">
      <c r="A57" s="18" t="s">
        <v>109</v>
      </c>
      <c r="H57" s="19" t="n">
        <f aca="false">SUM(H5:H56)</f>
        <v>22031</v>
      </c>
      <c r="I57" s="19" t="n">
        <f aca="false">ROUND(H57/$E$2,0)</f>
        <v>4406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true" outlineLevel="0" max="10" min="10" style="0" width="4"/>
  </cols>
  <sheetData>
    <row r="1" customFormat="false" ht="17.35" hidden="false" customHeight="false" outlineLevel="0" collapsed="false">
      <c r="A1" s="4" t="s">
        <v>112</v>
      </c>
    </row>
    <row r="2" customFormat="false" ht="15" hidden="false" customHeight="false" outlineLevel="0" collapsed="false">
      <c r="A2" s="5" t="s">
        <v>113</v>
      </c>
      <c r="E2" s="10" t="n">
        <v>5</v>
      </c>
    </row>
    <row r="4" customFormat="false" ht="15" hidden="false" customHeight="false" outlineLevel="0" collapsed="false">
      <c r="A4" s="11" t="s">
        <v>16</v>
      </c>
      <c r="B4" s="11" t="s">
        <v>17</v>
      </c>
      <c r="C4" s="11" t="s">
        <v>18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</row>
    <row r="5" customFormat="false" ht="15" hidden="false" customHeight="false" outlineLevel="0" collapsed="false">
      <c r="A5" s="12" t="s">
        <v>106</v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7" t="s">
        <v>25</v>
      </c>
      <c r="B6" s="7" t="s">
        <v>26</v>
      </c>
      <c r="C6" s="7" t="s">
        <v>27</v>
      </c>
      <c r="D6" s="14" t="n">
        <v>2960</v>
      </c>
      <c r="E6" s="15" t="n">
        <v>5</v>
      </c>
      <c r="F6" s="16" t="n">
        <f aca="false">ROUND(D6/$E$2,1)</f>
        <v>592</v>
      </c>
      <c r="G6" s="17" t="n">
        <f aca="false">IF(E6&gt;=2,CEILING(D6/$E$2,1),"one-off: "&amp;TEXT(D6,"#,##0")&amp;" total")</f>
        <v>592</v>
      </c>
      <c r="H6" s="9" t="n">
        <v>1036</v>
      </c>
      <c r="I6" s="9" t="n">
        <f aca="false">ROUND(H6/$E$2,0)</f>
        <v>207</v>
      </c>
      <c r="J6" s="5" t="str">
        <f aca="false">A6&amp;"|"&amp;C6</f>
        <v>Nasturtium|each</v>
      </c>
    </row>
    <row r="7" customFormat="false" ht="15" hidden="false" customHeight="false" outlineLevel="0" collapsed="false">
      <c r="A7" s="7" t="s">
        <v>35</v>
      </c>
      <c r="B7" s="7" t="s">
        <v>36</v>
      </c>
      <c r="C7" s="7" t="s">
        <v>32</v>
      </c>
      <c r="D7" s="14" t="n">
        <v>58</v>
      </c>
      <c r="E7" s="15" t="n">
        <v>4</v>
      </c>
      <c r="F7" s="16" t="n">
        <f aca="false">ROUND(D7/$E$2,1)</f>
        <v>11.6</v>
      </c>
      <c r="G7" s="17" t="n">
        <f aca="false">IF(E7&gt;=2,CEILING(D7/$E$2,1),"one-off: "&amp;TEXT(D7,"#,##0")&amp;" total")</f>
        <v>12</v>
      </c>
      <c r="H7" s="9" t="n">
        <v>870</v>
      </c>
      <c r="I7" s="9" t="n">
        <f aca="false">ROUND(H7/$E$2,0)</f>
        <v>174</v>
      </c>
      <c r="J7" s="5" t="str">
        <f aca="false">A7&amp;"|"&amp;C7</f>
        <v>Anise Hyssop|LG</v>
      </c>
    </row>
    <row r="8" customFormat="false" ht="15" hidden="false" customHeight="false" outlineLevel="0" collapsed="false">
      <c r="A8" s="7" t="s">
        <v>37</v>
      </c>
      <c r="B8" s="7" t="s">
        <v>29</v>
      </c>
      <c r="C8" s="7" t="s">
        <v>32</v>
      </c>
      <c r="D8" s="14" t="n">
        <v>18</v>
      </c>
      <c r="E8" s="15" t="n">
        <v>5</v>
      </c>
      <c r="F8" s="16" t="n">
        <f aca="false">ROUND(D8/$E$2,1)</f>
        <v>3.6</v>
      </c>
      <c r="G8" s="17" t="n">
        <f aca="false">IF(E8&gt;=2,CEILING(D8/$E$2,1),"one-off: "&amp;TEXT(D8,"#,##0")&amp;" total")</f>
        <v>4</v>
      </c>
      <c r="H8" s="9" t="n">
        <v>385</v>
      </c>
      <c r="I8" s="9" t="n">
        <f aca="false">ROUND(H8/$E$2,0)</f>
        <v>77</v>
      </c>
      <c r="J8" s="5" t="str">
        <f aca="false">A8&amp;"|"&amp;C8</f>
        <v>Carrots|LG</v>
      </c>
    </row>
    <row r="9" customFormat="false" ht="15" hidden="false" customHeight="false" outlineLevel="0" collapsed="false">
      <c r="A9" s="7" t="s">
        <v>44</v>
      </c>
      <c r="B9" s="7" t="s">
        <v>42</v>
      </c>
      <c r="C9" s="7" t="s">
        <v>45</v>
      </c>
      <c r="D9" s="14" t="n">
        <v>28</v>
      </c>
      <c r="E9" s="15" t="n">
        <v>5</v>
      </c>
      <c r="F9" s="16" t="n">
        <f aca="false">ROUND(D9/$E$2,1)</f>
        <v>5.6</v>
      </c>
      <c r="G9" s="17" t="n">
        <f aca="false">IF(E9&gt;=2,CEILING(D9/$E$2,1),"one-off: "&amp;TEXT(D9,"#,##0")&amp;" total")</f>
        <v>6</v>
      </c>
      <c r="H9" s="9" t="n">
        <v>359</v>
      </c>
      <c r="I9" s="9" t="n">
        <f aca="false">ROUND(H9/$E$2,0)</f>
        <v>72</v>
      </c>
      <c r="J9" s="5" t="str">
        <f aca="false">A9&amp;"|"&amp;C9</f>
        <v>Marigold|SM</v>
      </c>
    </row>
    <row r="10" customFormat="false" ht="15" hidden="false" customHeight="false" outlineLevel="0" collapsed="false">
      <c r="A10" s="7" t="s">
        <v>59</v>
      </c>
      <c r="B10" s="7" t="s">
        <v>29</v>
      </c>
      <c r="C10" s="7" t="s">
        <v>32</v>
      </c>
      <c r="D10" s="14" t="n">
        <v>20</v>
      </c>
      <c r="E10" s="15" t="n">
        <v>5</v>
      </c>
      <c r="F10" s="16" t="n">
        <f aca="false">ROUND(D10/$E$2,1)</f>
        <v>4</v>
      </c>
      <c r="G10" s="17" t="n">
        <f aca="false">IF(E10&gt;=2,CEILING(D10/$E$2,1),"one-off: "&amp;TEXT(D10,"#,##0")&amp;" total")</f>
        <v>4</v>
      </c>
      <c r="H10" s="9" t="n">
        <v>300</v>
      </c>
      <c r="I10" s="9" t="n">
        <f aca="false">ROUND(H10/$E$2,0)</f>
        <v>60</v>
      </c>
      <c r="J10" s="5" t="str">
        <f aca="false">A10&amp;"|"&amp;C10</f>
        <v>New Zealand Spinach|LG</v>
      </c>
    </row>
    <row r="11" customFormat="false" ht="15" hidden="false" customHeight="false" outlineLevel="0" collapsed="false">
      <c r="A11" s="7" t="s">
        <v>61</v>
      </c>
      <c r="B11" s="7" t="s">
        <v>42</v>
      </c>
      <c r="C11" s="7" t="s">
        <v>32</v>
      </c>
      <c r="D11" s="14" t="n">
        <v>4.5</v>
      </c>
      <c r="E11" s="15" t="n">
        <v>4</v>
      </c>
      <c r="F11" s="16" t="n">
        <f aca="false">ROUND(D11/$E$2,1)</f>
        <v>0.9</v>
      </c>
      <c r="G11" s="17" t="n">
        <f aca="false">IF(E11&gt;=2,CEILING(D11/$E$2,1),"one-off: "&amp;TEXT(D11,"#,##0")&amp;" total")</f>
        <v>1</v>
      </c>
      <c r="H11" s="9" t="n">
        <v>90</v>
      </c>
      <c r="I11" s="9" t="n">
        <f aca="false">ROUND(H11/$E$2,0)</f>
        <v>18</v>
      </c>
      <c r="J11" s="5" t="str">
        <f aca="false">A11&amp;"|"&amp;C11</f>
        <v>Society Garlic|LG</v>
      </c>
    </row>
    <row r="12" customFormat="false" ht="15" hidden="false" customHeight="false" outlineLevel="0" collapsed="false">
      <c r="A12" s="12" t="s">
        <v>107</v>
      </c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7" t="s">
        <v>49</v>
      </c>
      <c r="B13" s="7" t="s">
        <v>42</v>
      </c>
      <c r="C13" s="7" t="s">
        <v>45</v>
      </c>
      <c r="D13" s="14" t="n">
        <v>75</v>
      </c>
      <c r="E13" s="15" t="n">
        <v>2</v>
      </c>
      <c r="F13" s="16" t="n">
        <f aca="false">ROUND(D13/$E$2,1)</f>
        <v>15</v>
      </c>
      <c r="G13" s="17" t="n">
        <f aca="false">IF(E13&gt;=2,CEILING(D13/$E$2,1),"one-off: "&amp;TEXT(D13,"#,##0")&amp;" total")</f>
        <v>15</v>
      </c>
      <c r="H13" s="9" t="n">
        <v>900</v>
      </c>
      <c r="I13" s="9" t="n">
        <f aca="false">ROUND(H13/$E$2,0)</f>
        <v>180</v>
      </c>
      <c r="J13" s="5" t="str">
        <f aca="false">A13&amp;"|"&amp;C13</f>
        <v>Forget-Me-Nots|SM</v>
      </c>
    </row>
    <row r="14" customFormat="false" ht="15" hidden="false" customHeight="false" outlineLevel="0" collapsed="false">
      <c r="A14" s="7" t="s">
        <v>41</v>
      </c>
      <c r="B14" s="7" t="s">
        <v>42</v>
      </c>
      <c r="C14" s="7" t="s">
        <v>32</v>
      </c>
      <c r="D14" s="14" t="n">
        <v>24</v>
      </c>
      <c r="E14" s="15" t="n">
        <v>3</v>
      </c>
      <c r="F14" s="16" t="n">
        <f aca="false">ROUND(D14/$E$2,1)</f>
        <v>4.8</v>
      </c>
      <c r="G14" s="17" t="n">
        <f aca="false">IF(E14&gt;=2,CEILING(D14/$E$2,1),"one-off: "&amp;TEXT(D14,"#,##0")&amp;" total")</f>
        <v>5</v>
      </c>
      <c r="H14" s="9" t="n">
        <v>600</v>
      </c>
      <c r="I14" s="9" t="n">
        <f aca="false">ROUND(H14/$E$2,0)</f>
        <v>120</v>
      </c>
      <c r="J14" s="5" t="str">
        <f aca="false">A14&amp;"|"&amp;C14</f>
        <v>Radish|LG</v>
      </c>
    </row>
    <row r="15" customFormat="false" ht="15" hidden="false" customHeight="false" outlineLevel="0" collapsed="false">
      <c r="A15" s="7" t="s">
        <v>46</v>
      </c>
      <c r="B15" s="7" t="s">
        <v>29</v>
      </c>
      <c r="C15" s="7" t="s">
        <v>30</v>
      </c>
      <c r="D15" s="14" t="n">
        <v>90</v>
      </c>
      <c r="E15" s="15" t="n">
        <v>3</v>
      </c>
      <c r="F15" s="16" t="n">
        <f aca="false">ROUND(D15/$E$2,1)</f>
        <v>18</v>
      </c>
      <c r="G15" s="17" t="n">
        <f aca="false">IF(E15&gt;=2,CEILING(D15/$E$2,1),"one-off: "&amp;TEXT(D15,"#,##0")&amp;" total")</f>
        <v>18</v>
      </c>
      <c r="H15" s="9" t="n">
        <v>540</v>
      </c>
      <c r="I15" s="9" t="n">
        <f aca="false">ROUND(H15/$E$2,0)</f>
        <v>108</v>
      </c>
      <c r="J15" s="5" t="str">
        <f aca="false">A15&amp;"|"&amp;C15</f>
        <v>Figs|lbs</v>
      </c>
    </row>
    <row r="16" customFormat="false" ht="15" hidden="false" customHeight="false" outlineLevel="0" collapsed="false">
      <c r="A16" s="7" t="s">
        <v>47</v>
      </c>
      <c r="B16" s="7" t="s">
        <v>42</v>
      </c>
      <c r="C16" s="7" t="s">
        <v>32</v>
      </c>
      <c r="D16" s="14" t="n">
        <v>21</v>
      </c>
      <c r="E16" s="15" t="n">
        <v>3</v>
      </c>
      <c r="F16" s="16" t="n">
        <f aca="false">ROUND(D16/$E$2,1)</f>
        <v>4.2</v>
      </c>
      <c r="G16" s="17" t="n">
        <f aca="false">IF(E16&gt;=2,CEILING(D16/$E$2,1),"one-off: "&amp;TEXT(D16,"#,##0")&amp;" total")</f>
        <v>5</v>
      </c>
      <c r="H16" s="9" t="n">
        <v>412</v>
      </c>
      <c r="I16" s="9" t="n">
        <f aca="false">ROUND(H16/$E$2,0)</f>
        <v>82</v>
      </c>
      <c r="J16" s="5" t="str">
        <f aca="false">A16&amp;"|"&amp;C16</f>
        <v>Mustard Flowers|LG</v>
      </c>
    </row>
    <row r="17" customFormat="false" ht="15" hidden="false" customHeight="false" outlineLevel="0" collapsed="false">
      <c r="A17" s="7" t="s">
        <v>53</v>
      </c>
      <c r="B17" s="7" t="s">
        <v>29</v>
      </c>
      <c r="C17" s="7" t="s">
        <v>32</v>
      </c>
      <c r="D17" s="14" t="n">
        <v>17</v>
      </c>
      <c r="E17" s="15" t="n">
        <v>3</v>
      </c>
      <c r="F17" s="16" t="n">
        <f aca="false">ROUND(D17/$E$2,1)</f>
        <v>3.4</v>
      </c>
      <c r="G17" s="17" t="n">
        <f aca="false">IF(E17&gt;=2,CEILING(D17/$E$2,1),"one-off: "&amp;TEXT(D17,"#,##0")&amp;" total")</f>
        <v>4</v>
      </c>
      <c r="H17" s="9" t="n">
        <v>204</v>
      </c>
      <c r="I17" s="9" t="n">
        <f aca="false">ROUND(H17/$E$2,0)</f>
        <v>41</v>
      </c>
      <c r="J17" s="5" t="str">
        <f aca="false">A17&amp;"|"&amp;C17</f>
        <v>Beans|LG</v>
      </c>
    </row>
    <row r="18" customFormat="false" ht="15" hidden="false" customHeight="false" outlineLevel="0" collapsed="false">
      <c r="A18" s="7" t="s">
        <v>52</v>
      </c>
      <c r="B18" s="7" t="s">
        <v>42</v>
      </c>
      <c r="C18" s="7" t="s">
        <v>45</v>
      </c>
      <c r="D18" s="14" t="n">
        <v>15</v>
      </c>
      <c r="E18" s="15" t="n">
        <v>3</v>
      </c>
      <c r="F18" s="16" t="n">
        <f aca="false">ROUND(D18/$E$2,1)</f>
        <v>3</v>
      </c>
      <c r="G18" s="17" t="n">
        <f aca="false">IF(E18&gt;=2,CEILING(D18/$E$2,1),"one-off: "&amp;TEXT(D18,"#,##0")&amp;" total")</f>
        <v>3</v>
      </c>
      <c r="H18" s="9" t="n">
        <v>180</v>
      </c>
      <c r="I18" s="9" t="n">
        <f aca="false">ROUND(H18/$E$2,0)</f>
        <v>36</v>
      </c>
      <c r="J18" s="5" t="str">
        <f aca="false">A18&amp;"|"&amp;C18</f>
        <v>Egyptian Starflower|SM</v>
      </c>
    </row>
    <row r="19" customFormat="false" ht="15" hidden="false" customHeight="false" outlineLevel="0" collapsed="false">
      <c r="A19" s="7" t="s">
        <v>75</v>
      </c>
      <c r="B19" s="7" t="s">
        <v>42</v>
      </c>
      <c r="C19" s="7" t="s">
        <v>32</v>
      </c>
      <c r="D19" s="14" t="n">
        <v>11</v>
      </c>
      <c r="E19" s="15" t="n">
        <v>2</v>
      </c>
      <c r="F19" s="16" t="n">
        <f aca="false">ROUND(D19/$E$2,1)</f>
        <v>2.2</v>
      </c>
      <c r="G19" s="17" t="n">
        <f aca="false">IF(E19&gt;=2,CEILING(D19/$E$2,1),"one-off: "&amp;TEXT(D19,"#,##0")&amp;" total")</f>
        <v>3</v>
      </c>
      <c r="H19" s="9" t="n">
        <v>176</v>
      </c>
      <c r="I19" s="9" t="n">
        <f aca="false">ROUND(H19/$E$2,0)</f>
        <v>35</v>
      </c>
      <c r="J19" s="5" t="str">
        <f aca="false">A19&amp;"|"&amp;C19</f>
        <v>Rose Geranium|LG</v>
      </c>
    </row>
    <row r="20" customFormat="false" ht="15" hidden="false" customHeight="false" outlineLevel="0" collapsed="false">
      <c r="A20" s="7" t="s">
        <v>56</v>
      </c>
      <c r="B20" s="7" t="s">
        <v>42</v>
      </c>
      <c r="C20" s="7" t="s">
        <v>45</v>
      </c>
      <c r="D20" s="14" t="n">
        <v>29</v>
      </c>
      <c r="E20" s="15" t="n">
        <v>3</v>
      </c>
      <c r="F20" s="16" t="n">
        <f aca="false">ROUND(D20/$E$2,1)</f>
        <v>5.8</v>
      </c>
      <c r="G20" s="17" t="n">
        <f aca="false">IF(E20&gt;=2,CEILING(D20/$E$2,1),"one-off: "&amp;TEXT(D20,"#,##0")&amp;" total")</f>
        <v>6</v>
      </c>
      <c r="H20" s="9" t="n">
        <v>174</v>
      </c>
      <c r="I20" s="9" t="n">
        <f aca="false">ROUND(H20/$E$2,0)</f>
        <v>35</v>
      </c>
      <c r="J20" s="5" t="str">
        <f aca="false">A20&amp;"|"&amp;C20</f>
        <v>Alyssum|SM</v>
      </c>
    </row>
    <row r="21" customFormat="false" ht="15" hidden="false" customHeight="false" outlineLevel="0" collapsed="false">
      <c r="A21" s="7" t="s">
        <v>31</v>
      </c>
      <c r="B21" s="7" t="s">
        <v>26</v>
      </c>
      <c r="C21" s="7" t="s">
        <v>45</v>
      </c>
      <c r="D21" s="14" t="n">
        <v>11</v>
      </c>
      <c r="E21" s="15" t="n">
        <v>3</v>
      </c>
      <c r="F21" s="16" t="n">
        <f aca="false">ROUND(D21/$E$2,1)</f>
        <v>2.2</v>
      </c>
      <c r="G21" s="17" t="n">
        <f aca="false">IF(E21&gt;=2,CEILING(D21/$E$2,1),"one-off: "&amp;TEXT(D21,"#,##0")&amp;" total")</f>
        <v>3</v>
      </c>
      <c r="H21" s="9" t="n">
        <v>132</v>
      </c>
      <c r="I21" s="9" t="n">
        <f aca="false">ROUND(H21/$E$2,0)</f>
        <v>26</v>
      </c>
      <c r="J21" s="5" t="str">
        <f aca="false">A21&amp;"|"&amp;C21</f>
        <v>Basil|SM</v>
      </c>
    </row>
    <row r="22" customFormat="false" ht="15" hidden="false" customHeight="false" outlineLevel="0" collapsed="false">
      <c r="A22" s="7" t="s">
        <v>55</v>
      </c>
      <c r="B22" s="7" t="s">
        <v>42</v>
      </c>
      <c r="C22" s="7" t="s">
        <v>32</v>
      </c>
      <c r="D22" s="14" t="n">
        <v>6</v>
      </c>
      <c r="E22" s="15" t="n">
        <v>3</v>
      </c>
      <c r="F22" s="16" t="n">
        <f aca="false">ROUND(D22/$E$2,1)</f>
        <v>1.2</v>
      </c>
      <c r="G22" s="17" t="n">
        <f aca="false">IF(E22&gt;=2,CEILING(D22/$E$2,1),"one-off: "&amp;TEXT(D22,"#,##0")&amp;" total")</f>
        <v>2</v>
      </c>
      <c r="H22" s="9" t="n">
        <v>90</v>
      </c>
      <c r="I22" s="9" t="n">
        <f aca="false">ROUND(H22/$E$2,0)</f>
        <v>18</v>
      </c>
      <c r="J22" s="5" t="str">
        <f aca="false">A22&amp;"|"&amp;C22</f>
        <v>Zinnias|LG</v>
      </c>
    </row>
    <row r="23" customFormat="false" ht="15" hidden="false" customHeight="false" outlineLevel="0" collapsed="false">
      <c r="A23" s="7" t="s">
        <v>53</v>
      </c>
      <c r="B23" s="7" t="s">
        <v>29</v>
      </c>
      <c r="C23" s="7" t="s">
        <v>45</v>
      </c>
      <c r="D23" s="14" t="n">
        <v>6</v>
      </c>
      <c r="E23" s="15" t="n">
        <v>2</v>
      </c>
      <c r="F23" s="16" t="n">
        <f aca="false">ROUND(D23/$E$2,1)</f>
        <v>1.2</v>
      </c>
      <c r="G23" s="17" t="n">
        <f aca="false">IF(E23&gt;=2,CEILING(D23/$E$2,1),"one-off: "&amp;TEXT(D23,"#,##0")&amp;" total")</f>
        <v>2</v>
      </c>
      <c r="H23" s="9" t="n">
        <v>90</v>
      </c>
      <c r="I23" s="9" t="n">
        <f aca="false">ROUND(H23/$E$2,0)</f>
        <v>18</v>
      </c>
      <c r="J23" s="5" t="str">
        <f aca="false">A23&amp;"|"&amp;C23</f>
        <v>Beans|SM</v>
      </c>
    </row>
    <row r="24" customFormat="false" ht="15" hidden="false" customHeight="false" outlineLevel="0" collapsed="false">
      <c r="A24" s="7" t="s">
        <v>31</v>
      </c>
      <c r="B24" s="7" t="s">
        <v>26</v>
      </c>
      <c r="C24" s="7" t="s">
        <v>32</v>
      </c>
      <c r="D24" s="14" t="n">
        <v>5</v>
      </c>
      <c r="E24" s="15" t="n">
        <v>3</v>
      </c>
      <c r="F24" s="16" t="n">
        <f aca="false">ROUND(D24/$E$2,1)</f>
        <v>1</v>
      </c>
      <c r="G24" s="17" t="n">
        <f aca="false">IF(E24&gt;=2,CEILING(D24/$E$2,1),"one-off: "&amp;TEXT(D24,"#,##0")&amp;" total")</f>
        <v>1</v>
      </c>
      <c r="H24" s="9" t="n">
        <v>60</v>
      </c>
      <c r="I24" s="9" t="n">
        <f aca="false">ROUND(H24/$E$2,0)</f>
        <v>12</v>
      </c>
      <c r="J24" s="5" t="str">
        <f aca="false">A24&amp;"|"&amp;C24</f>
        <v>Basil|LG</v>
      </c>
    </row>
    <row r="25" customFormat="false" ht="15" hidden="false" customHeight="false" outlineLevel="0" collapsed="false">
      <c r="A25" s="7" t="s">
        <v>44</v>
      </c>
      <c r="B25" s="7" t="s">
        <v>42</v>
      </c>
      <c r="C25" s="7" t="s">
        <v>32</v>
      </c>
      <c r="D25" s="14" t="n">
        <v>5</v>
      </c>
      <c r="E25" s="15" t="n">
        <v>3</v>
      </c>
      <c r="F25" s="16" t="n">
        <f aca="false">ROUND(D25/$E$2,1)</f>
        <v>1</v>
      </c>
      <c r="G25" s="17" t="n">
        <f aca="false">IF(E25&gt;=2,CEILING(D25/$E$2,1),"one-off: "&amp;TEXT(D25,"#,##0")&amp;" total")</f>
        <v>1</v>
      </c>
      <c r="H25" s="9" t="n">
        <v>60</v>
      </c>
      <c r="I25" s="9" t="n">
        <f aca="false">ROUND(H25/$E$2,0)</f>
        <v>12</v>
      </c>
      <c r="J25" s="5" t="str">
        <f aca="false">A25&amp;"|"&amp;C25</f>
        <v>Marigold|LG</v>
      </c>
    </row>
    <row r="26" customFormat="false" ht="15" hidden="false" customHeight="false" outlineLevel="0" collapsed="false">
      <c r="A26" s="7" t="s">
        <v>58</v>
      </c>
      <c r="B26" s="7" t="s">
        <v>26</v>
      </c>
      <c r="C26" s="7" t="s">
        <v>32</v>
      </c>
      <c r="D26" s="14" t="n">
        <v>5</v>
      </c>
      <c r="E26" s="15" t="n">
        <v>3</v>
      </c>
      <c r="F26" s="16" t="n">
        <f aca="false">ROUND(D26/$E$2,1)</f>
        <v>1</v>
      </c>
      <c r="G26" s="17" t="n">
        <f aca="false">IF(E26&gt;=2,CEILING(D26/$E$2,1),"one-off: "&amp;TEXT(D26,"#,##0")&amp;" total")</f>
        <v>1</v>
      </c>
      <c r="H26" s="9" t="n">
        <v>50</v>
      </c>
      <c r="I26" s="9" t="n">
        <f aca="false">ROUND(H26/$E$2,0)</f>
        <v>10</v>
      </c>
      <c r="J26" s="5" t="str">
        <f aca="false">A26&amp;"|"&amp;C26</f>
        <v>Mint|LG</v>
      </c>
    </row>
    <row r="27" customFormat="false" ht="15" hidden="false" customHeight="false" outlineLevel="0" collapsed="false">
      <c r="A27" s="7" t="s">
        <v>69</v>
      </c>
      <c r="B27" s="7" t="s">
        <v>26</v>
      </c>
      <c r="C27" s="7" t="s">
        <v>32</v>
      </c>
      <c r="D27" s="14" t="n">
        <v>4</v>
      </c>
      <c r="E27" s="15" t="n">
        <v>2</v>
      </c>
      <c r="F27" s="16" t="n">
        <f aca="false">ROUND(D27/$E$2,1)</f>
        <v>0.8</v>
      </c>
      <c r="G27" s="17" t="n">
        <f aca="false">IF(E27&gt;=2,CEILING(D27/$E$2,1),"one-off: "&amp;TEXT(D27,"#,##0")&amp;" total")</f>
        <v>1</v>
      </c>
      <c r="H27" s="9" t="n">
        <v>48</v>
      </c>
      <c r="I27" s="9" t="n">
        <f aca="false">ROUND(H27/$E$2,0)</f>
        <v>10</v>
      </c>
      <c r="J27" s="5" t="str">
        <f aca="false">A27&amp;"|"&amp;C27</f>
        <v>Field Pea Tendrils|LG</v>
      </c>
    </row>
    <row r="28" customFormat="false" ht="15" hidden="false" customHeight="false" outlineLevel="0" collapsed="false">
      <c r="A28" s="7" t="s">
        <v>54</v>
      </c>
      <c r="B28" s="7" t="s">
        <v>26</v>
      </c>
      <c r="C28" s="7" t="s">
        <v>32</v>
      </c>
      <c r="D28" s="14" t="n">
        <v>2</v>
      </c>
      <c r="E28" s="15" t="n">
        <v>2</v>
      </c>
      <c r="F28" s="16" t="n">
        <f aca="false">ROUND(D28/$E$2,1)</f>
        <v>0.4</v>
      </c>
      <c r="G28" s="17" t="n">
        <f aca="false">IF(E28&gt;=2,CEILING(D28/$E$2,1),"one-off: "&amp;TEXT(D28,"#,##0")&amp;" total")</f>
        <v>1</v>
      </c>
      <c r="H28" s="9" t="n">
        <v>30</v>
      </c>
      <c r="I28" s="9" t="n">
        <f aca="false">ROUND(H28/$E$2,0)</f>
        <v>6</v>
      </c>
      <c r="J28" s="5" t="str">
        <f aca="false">A28&amp;"|"&amp;C28</f>
        <v>Aptenia|LG</v>
      </c>
    </row>
    <row r="29" customFormat="false" ht="15" hidden="false" customHeight="false" outlineLevel="0" collapsed="false">
      <c r="A29" s="7" t="s">
        <v>41</v>
      </c>
      <c r="B29" s="7" t="s">
        <v>42</v>
      </c>
      <c r="C29" s="7" t="s">
        <v>45</v>
      </c>
      <c r="D29" s="14" t="n">
        <v>2</v>
      </c>
      <c r="E29" s="15" t="n">
        <v>2</v>
      </c>
      <c r="F29" s="16" t="n">
        <f aca="false">ROUND(D29/$E$2,1)</f>
        <v>0.4</v>
      </c>
      <c r="G29" s="17" t="n">
        <f aca="false">IF(E29&gt;=2,CEILING(D29/$E$2,1),"one-off: "&amp;TEXT(D29,"#,##0")&amp;" total")</f>
        <v>1</v>
      </c>
      <c r="H29" s="9" t="n">
        <v>20</v>
      </c>
      <c r="I29" s="9" t="n">
        <f aca="false">ROUND(H29/$E$2,0)</f>
        <v>4</v>
      </c>
      <c r="J29" s="5" t="str">
        <f aca="false">A29&amp;"|"&amp;C29</f>
        <v>Radish|SM</v>
      </c>
    </row>
    <row r="30" customFormat="false" ht="15" hidden="false" customHeight="false" outlineLevel="0" collapsed="false">
      <c r="A30" s="12" t="s">
        <v>108</v>
      </c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7" t="s">
        <v>37</v>
      </c>
      <c r="B31" s="7" t="s">
        <v>29</v>
      </c>
      <c r="C31" s="7" t="s">
        <v>27</v>
      </c>
      <c r="D31" s="14" t="n">
        <v>247</v>
      </c>
      <c r="E31" s="15" t="n">
        <v>1</v>
      </c>
      <c r="F31" s="16" t="n">
        <f aca="false">ROUND(D31/$E$2,1)</f>
        <v>49.4</v>
      </c>
      <c r="G31" s="17" t="str">
        <f aca="false">IF(E31&gt;=2,CEILING(D31/$E$2,1),"one-off: "&amp;TEXT(D31,"#,##0")&amp;" total")</f>
        <v>one-off: 247 total</v>
      </c>
      <c r="H31" s="9" t="n">
        <v>865</v>
      </c>
      <c r="I31" s="9" t="n">
        <f aca="false">ROUND(H31/$E$2,0)</f>
        <v>173</v>
      </c>
      <c r="J31" s="5" t="str">
        <f aca="false">A31&amp;"|"&amp;C31</f>
        <v>Carrots|each</v>
      </c>
    </row>
    <row r="32" customFormat="false" ht="15" hidden="false" customHeight="false" outlineLevel="0" collapsed="false">
      <c r="A32" s="7" t="s">
        <v>43</v>
      </c>
      <c r="B32" s="7" t="s">
        <v>29</v>
      </c>
      <c r="C32" s="7" t="s">
        <v>27</v>
      </c>
      <c r="D32" s="14" t="n">
        <v>49</v>
      </c>
      <c r="E32" s="15" t="n">
        <v>1</v>
      </c>
      <c r="F32" s="16" t="n">
        <f aca="false">ROUND(D32/$E$2,1)</f>
        <v>9.8</v>
      </c>
      <c r="G32" s="17" t="str">
        <f aca="false">IF(E32&gt;=2,CEILING(D32/$E$2,1),"one-off: "&amp;TEXT(D32,"#,##0")&amp;" total")</f>
        <v>one-off: 49 total</v>
      </c>
      <c r="H32" s="9" t="n">
        <v>184</v>
      </c>
      <c r="I32" s="9" t="n">
        <f aca="false">ROUND(H32/$E$2,0)</f>
        <v>37</v>
      </c>
      <c r="J32" s="5" t="str">
        <f aca="false">A32&amp;"|"&amp;C32</f>
        <v>Persimmon|each</v>
      </c>
    </row>
    <row r="33" customFormat="false" ht="15" hidden="false" customHeight="false" outlineLevel="0" collapsed="false">
      <c r="A33" s="7" t="s">
        <v>46</v>
      </c>
      <c r="B33" s="7" t="s">
        <v>29</v>
      </c>
      <c r="C33" s="7" t="s">
        <v>32</v>
      </c>
      <c r="D33" s="14" t="n">
        <v>5</v>
      </c>
      <c r="E33" s="15" t="n">
        <v>1</v>
      </c>
      <c r="F33" s="16" t="n">
        <f aca="false">ROUND(D33/$E$2,1)</f>
        <v>1</v>
      </c>
      <c r="G33" s="17" t="str">
        <f aca="false">IF(E33&gt;=2,CEILING(D33/$E$2,1),"one-off: "&amp;TEXT(D33,"#,##0")&amp;" total")</f>
        <v>one-off: 5 total</v>
      </c>
      <c r="H33" s="9" t="n">
        <v>125</v>
      </c>
      <c r="I33" s="9" t="n">
        <f aca="false">ROUND(H33/$E$2,0)</f>
        <v>25</v>
      </c>
      <c r="J33" s="5" t="str">
        <f aca="false">A33&amp;"|"&amp;C33</f>
        <v>Figs|LG</v>
      </c>
    </row>
    <row r="34" customFormat="false" ht="15" hidden="false" customHeight="false" outlineLevel="0" collapsed="false">
      <c r="A34" s="7" t="s">
        <v>39</v>
      </c>
      <c r="B34" s="7" t="s">
        <v>26</v>
      </c>
      <c r="C34" s="7" t="s">
        <v>40</v>
      </c>
      <c r="D34" s="14" t="n">
        <v>2</v>
      </c>
      <c r="E34" s="15" t="n">
        <v>1</v>
      </c>
      <c r="F34" s="16" t="n">
        <f aca="false">ROUND(D34/$E$2,1)</f>
        <v>0.4</v>
      </c>
      <c r="G34" s="17" t="str">
        <f aca="false">IF(E34&gt;=2,CEILING(D34/$E$2,1),"one-off: "&amp;TEXT(D34,"#,##0")&amp;" total")</f>
        <v>one-off: 2 total</v>
      </c>
      <c r="H34" s="9" t="n">
        <v>96</v>
      </c>
      <c r="I34" s="9" t="n">
        <f aca="false">ROUND(H34/$E$2,0)</f>
        <v>19</v>
      </c>
      <c r="J34" s="5" t="str">
        <f aca="false">A34&amp;"|"&amp;C34</f>
        <v>Squash|box</v>
      </c>
    </row>
    <row r="35" customFormat="false" ht="15" hidden="false" customHeight="false" outlineLevel="0" collapsed="false">
      <c r="A35" s="7" t="s">
        <v>47</v>
      </c>
      <c r="B35" s="7" t="s">
        <v>42</v>
      </c>
      <c r="C35" s="7" t="s">
        <v>30</v>
      </c>
      <c r="D35" s="14" t="n">
        <v>10</v>
      </c>
      <c r="E35" s="15" t="n">
        <v>1</v>
      </c>
      <c r="F35" s="16" t="n">
        <f aca="false">ROUND(D35/$E$2,1)</f>
        <v>2</v>
      </c>
      <c r="G35" s="17" t="str">
        <f aca="false">IF(E35&gt;=2,CEILING(D35/$E$2,1),"one-off: "&amp;TEXT(D35,"#,##0")&amp;" total")</f>
        <v>one-off: 10 total</v>
      </c>
      <c r="H35" s="9" t="n">
        <v>80</v>
      </c>
      <c r="I35" s="9" t="n">
        <f aca="false">ROUND(H35/$E$2,0)</f>
        <v>16</v>
      </c>
      <c r="J35" s="5" t="str">
        <f aca="false">A35&amp;"|"&amp;C35</f>
        <v>Mustard Flowers|lbs</v>
      </c>
    </row>
    <row r="36" customFormat="false" ht="15" hidden="false" customHeight="false" outlineLevel="0" collapsed="false">
      <c r="A36" s="7" t="s">
        <v>78</v>
      </c>
      <c r="B36" s="7" t="s">
        <v>26</v>
      </c>
      <c r="C36" s="7" t="s">
        <v>32</v>
      </c>
      <c r="D36" s="14" t="n">
        <v>6</v>
      </c>
      <c r="E36" s="15" t="n">
        <v>1</v>
      </c>
      <c r="F36" s="16" t="n">
        <f aca="false">ROUND(D36/$E$2,1)</f>
        <v>1.2</v>
      </c>
      <c r="G36" s="17" t="str">
        <f aca="false">IF(E36&gt;=2,CEILING(D36/$E$2,1),"one-off: "&amp;TEXT(D36,"#,##0")&amp;" total")</f>
        <v>one-off: 6 total</v>
      </c>
      <c r="H36" s="9" t="n">
        <v>72</v>
      </c>
      <c r="I36" s="9" t="n">
        <f aca="false">ROUND(H36/$E$2,0)</f>
        <v>14</v>
      </c>
      <c r="J36" s="5" t="str">
        <f aca="false">A36&amp;"|"&amp;C36</f>
        <v>Samples|LG</v>
      </c>
    </row>
    <row r="37" customFormat="false" ht="15" hidden="false" customHeight="false" outlineLevel="0" collapsed="false">
      <c r="A37" s="7" t="s">
        <v>51</v>
      </c>
      <c r="B37" s="7" t="s">
        <v>26</v>
      </c>
      <c r="C37" s="7" t="s">
        <v>32</v>
      </c>
      <c r="D37" s="14" t="n">
        <v>3</v>
      </c>
      <c r="E37" s="15" t="n">
        <v>1</v>
      </c>
      <c r="F37" s="16" t="n">
        <f aca="false">ROUND(D37/$E$2,1)</f>
        <v>0.6</v>
      </c>
      <c r="G37" s="17" t="str">
        <f aca="false">IF(E37&gt;=2,CEILING(D37/$E$2,1),"one-off: "&amp;TEXT(D37,"#,##0")&amp;" total")</f>
        <v>one-off: 3 total</v>
      </c>
      <c r="H37" s="9" t="n">
        <v>60</v>
      </c>
      <c r="I37" s="9" t="n">
        <f aca="false">ROUND(H37/$E$2,0)</f>
        <v>12</v>
      </c>
      <c r="J37" s="5" t="str">
        <f aca="false">A37&amp;"|"&amp;C37</f>
        <v>Kale|LG</v>
      </c>
    </row>
    <row r="38" customFormat="false" ht="15" hidden="false" customHeight="false" outlineLevel="0" collapsed="false">
      <c r="A38" s="7" t="s">
        <v>33</v>
      </c>
      <c r="B38" s="7" t="s">
        <v>29</v>
      </c>
      <c r="C38" s="7" t="s">
        <v>32</v>
      </c>
      <c r="D38" s="14" t="n">
        <v>2</v>
      </c>
      <c r="E38" s="15" t="n">
        <v>1</v>
      </c>
      <c r="F38" s="16" t="n">
        <f aca="false">ROUND(D38/$E$2,1)</f>
        <v>0.4</v>
      </c>
      <c r="G38" s="17" t="str">
        <f aca="false">IF(E38&gt;=2,CEILING(D38/$E$2,1),"one-off: "&amp;TEXT(D38,"#,##0")&amp;" total")</f>
        <v>one-off: 2 total</v>
      </c>
      <c r="H38" s="9" t="n">
        <v>40</v>
      </c>
      <c r="I38" s="9" t="n">
        <f aca="false">ROUND(H38/$E$2,0)</f>
        <v>8</v>
      </c>
      <c r="J38" s="5" t="str">
        <f aca="false">A38&amp;"|"&amp;C38</f>
        <v>Cauliflower|LG</v>
      </c>
    </row>
    <row r="39" customFormat="false" ht="15" hidden="false" customHeight="false" outlineLevel="0" collapsed="false">
      <c r="A39" s="7" t="s">
        <v>89</v>
      </c>
      <c r="B39" s="7" t="s">
        <v>26</v>
      </c>
      <c r="C39" s="7" t="s">
        <v>32</v>
      </c>
      <c r="D39" s="14" t="n">
        <v>2</v>
      </c>
      <c r="E39" s="15" t="n">
        <v>1</v>
      </c>
      <c r="F39" s="16" t="n">
        <f aca="false">ROUND(D39/$E$2,1)</f>
        <v>0.4</v>
      </c>
      <c r="G39" s="17" t="str">
        <f aca="false">IF(E39&gt;=2,CEILING(D39/$E$2,1),"one-off: "&amp;TEXT(D39,"#,##0")&amp;" total")</f>
        <v>one-off: 2 total</v>
      </c>
      <c r="H39" s="9" t="n">
        <v>39</v>
      </c>
      <c r="I39" s="9" t="n">
        <f aca="false">ROUND(H39/$E$2,0)</f>
        <v>8</v>
      </c>
      <c r="J39" s="5" t="str">
        <f aca="false">A39&amp;"|"&amp;C39</f>
        <v>Mustard Leaves|LG</v>
      </c>
    </row>
    <row r="40" customFormat="false" ht="15" hidden="false" customHeight="false" outlineLevel="0" collapsed="false">
      <c r="A40" s="7" t="s">
        <v>63</v>
      </c>
      <c r="B40" s="7" t="s">
        <v>36</v>
      </c>
      <c r="C40" s="7" t="s">
        <v>32</v>
      </c>
      <c r="D40" s="14" t="n">
        <v>2</v>
      </c>
      <c r="E40" s="15" t="n">
        <v>1</v>
      </c>
      <c r="F40" s="16" t="n">
        <f aca="false">ROUND(D40/$E$2,1)</f>
        <v>0.4</v>
      </c>
      <c r="G40" s="17" t="str">
        <f aca="false">IF(E40&gt;=2,CEILING(D40/$E$2,1),"one-off: "&amp;TEXT(D40,"#,##0")&amp;" total")</f>
        <v>one-off: 2 total</v>
      </c>
      <c r="H40" s="9" t="n">
        <v>30</v>
      </c>
      <c r="I40" s="9" t="n">
        <f aca="false">ROUND(H40/$E$2,0)</f>
        <v>6</v>
      </c>
      <c r="J40" s="5" t="str">
        <f aca="false">A40&amp;"|"&amp;C40</f>
        <v>Fennel|LG</v>
      </c>
    </row>
    <row r="41" customFormat="false" ht="15" hidden="false" customHeight="false" outlineLevel="0" collapsed="false">
      <c r="A41" s="7" t="s">
        <v>39</v>
      </c>
      <c r="B41" s="7" t="s">
        <v>26</v>
      </c>
      <c r="C41" s="7" t="s">
        <v>32</v>
      </c>
      <c r="D41" s="14" t="n">
        <v>1</v>
      </c>
      <c r="E41" s="15" t="n">
        <v>1</v>
      </c>
      <c r="F41" s="16" t="n">
        <f aca="false">ROUND(D41/$E$2,1)</f>
        <v>0.2</v>
      </c>
      <c r="G41" s="17" t="str">
        <f aca="false">IF(E41&gt;=2,CEILING(D41/$E$2,1),"one-off: "&amp;TEXT(D41,"#,##0")&amp;" total")</f>
        <v>one-off: 1 total</v>
      </c>
      <c r="H41" s="9" t="n">
        <v>25</v>
      </c>
      <c r="I41" s="9" t="n">
        <f aca="false">ROUND(H41/$E$2,0)</f>
        <v>5</v>
      </c>
      <c r="J41" s="5" t="str">
        <f aca="false">A41&amp;"|"&amp;C41</f>
        <v>Squash|LG</v>
      </c>
    </row>
    <row r="42" customFormat="false" ht="15" hidden="false" customHeight="false" outlineLevel="0" collapsed="false">
      <c r="A42" s="7" t="s">
        <v>60</v>
      </c>
      <c r="B42" s="7" t="s">
        <v>26</v>
      </c>
      <c r="C42" s="7" t="s">
        <v>40</v>
      </c>
      <c r="D42" s="14" t="n">
        <v>1</v>
      </c>
      <c r="E42" s="15" t="n">
        <v>1</v>
      </c>
      <c r="F42" s="16" t="n">
        <f aca="false">ROUND(D42/$E$2,1)</f>
        <v>0.2</v>
      </c>
      <c r="G42" s="17" t="str">
        <f aca="false">IF(E42&gt;=2,CEILING(D42/$E$2,1),"one-off: "&amp;TEXT(D42,"#,##0")&amp;" total")</f>
        <v>one-off: 1 total</v>
      </c>
      <c r="H42" s="9" t="n">
        <v>20</v>
      </c>
      <c r="I42" s="9" t="n">
        <f aca="false">ROUND(H42/$E$2,0)</f>
        <v>4</v>
      </c>
      <c r="J42" s="5" t="str">
        <f aca="false">A42&amp;"|"&amp;C42</f>
        <v>Evergreen Branches|box</v>
      </c>
    </row>
    <row r="43" customFormat="false" ht="15" hidden="false" customHeight="false" outlineLevel="0" collapsed="false">
      <c r="A43" s="7" t="s">
        <v>93</v>
      </c>
      <c r="B43" s="7" t="s">
        <v>26</v>
      </c>
      <c r="C43" s="7" t="s">
        <v>32</v>
      </c>
      <c r="D43" s="14" t="n">
        <v>1</v>
      </c>
      <c r="E43" s="15" t="n">
        <v>1</v>
      </c>
      <c r="F43" s="16" t="n">
        <f aca="false">ROUND(D43/$E$2,1)</f>
        <v>0.2</v>
      </c>
      <c r="G43" s="17" t="str">
        <f aca="false">IF(E43&gt;=2,CEILING(D43/$E$2,1),"one-off: "&amp;TEXT(D43,"#,##0")&amp;" total")</f>
        <v>one-off: 1 total</v>
      </c>
      <c r="H43" s="9" t="n">
        <v>20</v>
      </c>
      <c r="I43" s="9" t="n">
        <f aca="false">ROUND(H43/$E$2,0)</f>
        <v>4</v>
      </c>
      <c r="J43" s="5" t="str">
        <f aca="false">A43&amp;"|"&amp;C43</f>
        <v>Brassica|LG</v>
      </c>
    </row>
    <row r="44" customFormat="false" ht="15" hidden="false" customHeight="false" outlineLevel="0" collapsed="false">
      <c r="A44" s="7" t="s">
        <v>72</v>
      </c>
      <c r="B44" s="7" t="s">
        <v>26</v>
      </c>
      <c r="C44" s="7" t="s">
        <v>27</v>
      </c>
      <c r="D44" s="14" t="n">
        <v>100</v>
      </c>
      <c r="E44" s="15" t="n">
        <v>1</v>
      </c>
      <c r="F44" s="16" t="n">
        <f aca="false">ROUND(D44/$E$2,1)</f>
        <v>20</v>
      </c>
      <c r="G44" s="17" t="str">
        <f aca="false">IF(E44&gt;=2,CEILING(D44/$E$2,1),"one-off: "&amp;TEXT(D44,"#,##0")&amp;" total")</f>
        <v>one-off: 100 total</v>
      </c>
      <c r="H44" s="9" t="n">
        <v>20</v>
      </c>
      <c r="I44" s="9" t="n">
        <f aca="false">ROUND(H44/$E$2,0)</f>
        <v>4</v>
      </c>
      <c r="J44" s="5" t="str">
        <f aca="false">A44&amp;"|"&amp;C44</f>
        <v>Rosemary|each</v>
      </c>
    </row>
    <row r="45" customFormat="false" ht="15" hidden="false" customHeight="false" outlineLevel="0" collapsed="false">
      <c r="A45" s="7" t="s">
        <v>70</v>
      </c>
      <c r="B45" s="7" t="s">
        <v>42</v>
      </c>
      <c r="C45" s="7" t="s">
        <v>32</v>
      </c>
      <c r="D45" s="14" t="n">
        <v>1</v>
      </c>
      <c r="E45" s="15" t="n">
        <v>1</v>
      </c>
      <c r="F45" s="16" t="n">
        <f aca="false">ROUND(D45/$E$2,1)</f>
        <v>0.2</v>
      </c>
      <c r="G45" s="17" t="str">
        <f aca="false">IF(E45&gt;=2,CEILING(D45/$E$2,1),"one-off: "&amp;TEXT(D45,"#,##0")&amp;" total")</f>
        <v>one-off: 1 total</v>
      </c>
      <c r="H45" s="9" t="n">
        <v>15</v>
      </c>
      <c r="I45" s="9" t="n">
        <f aca="false">ROUND(H45/$E$2,0)</f>
        <v>3</v>
      </c>
      <c r="J45" s="5" t="str">
        <f aca="false">A45&amp;"|"&amp;C45</f>
        <v>Yarrow|LG</v>
      </c>
    </row>
    <row r="46" customFormat="false" ht="15" hidden="false" customHeight="false" outlineLevel="0" collapsed="false">
      <c r="A46" s="7" t="s">
        <v>48</v>
      </c>
      <c r="B46" s="7" t="s">
        <v>26</v>
      </c>
      <c r="C46" s="7" t="s">
        <v>32</v>
      </c>
      <c r="D46" s="14" t="n">
        <v>1</v>
      </c>
      <c r="E46" s="15" t="n">
        <v>1</v>
      </c>
      <c r="F46" s="16" t="n">
        <f aca="false">ROUND(D46/$E$2,1)</f>
        <v>0.2</v>
      </c>
      <c r="G46" s="17" t="str">
        <f aca="false">IF(E46&gt;=2,CEILING(D46/$E$2,1),"one-off: "&amp;TEXT(D46,"#,##0")&amp;" total")</f>
        <v>one-off: 1 total</v>
      </c>
      <c r="H46" s="9" t="n">
        <v>15</v>
      </c>
      <c r="I46" s="9" t="n">
        <f aca="false">ROUND(H46/$E$2,0)</f>
        <v>3</v>
      </c>
      <c r="J46" s="5" t="str">
        <f aca="false">A46&amp;"|"&amp;C46</f>
        <v>Cucumber Leaf (1 in)|LG</v>
      </c>
    </row>
    <row r="47" customFormat="false" ht="15" hidden="false" customHeight="false" outlineLevel="0" collapsed="false">
      <c r="A47" s="7" t="s">
        <v>57</v>
      </c>
      <c r="B47" s="7" t="s">
        <v>26</v>
      </c>
      <c r="C47" s="7" t="s">
        <v>45</v>
      </c>
      <c r="D47" s="14" t="n">
        <v>1</v>
      </c>
      <c r="E47" s="15" t="n">
        <v>1</v>
      </c>
      <c r="F47" s="16" t="n">
        <f aca="false">ROUND(D47/$E$2,1)</f>
        <v>0.2</v>
      </c>
      <c r="G47" s="17" t="str">
        <f aca="false">IF(E47&gt;=2,CEILING(D47/$E$2,1),"one-off: "&amp;TEXT(D47,"#,##0")&amp;" total")</f>
        <v>one-off: 1 total</v>
      </c>
      <c r="H47" s="9" t="n">
        <v>12</v>
      </c>
      <c r="I47" s="9" t="n">
        <f aca="false">ROUND(H47/$E$2,0)</f>
        <v>2</v>
      </c>
      <c r="J47" s="5" t="str">
        <f aca="false">A47&amp;"|"&amp;C47</f>
        <v>Shiso|SM</v>
      </c>
    </row>
    <row r="48" customFormat="false" ht="15" hidden="false" customHeight="false" outlineLevel="0" collapsed="false">
      <c r="A48" s="7" t="s">
        <v>95</v>
      </c>
      <c r="B48" s="7" t="s">
        <v>26</v>
      </c>
      <c r="C48" s="7" t="s">
        <v>32</v>
      </c>
      <c r="D48" s="14" t="n">
        <v>1</v>
      </c>
      <c r="E48" s="15" t="n">
        <v>1</v>
      </c>
      <c r="F48" s="16" t="n">
        <f aca="false">ROUND(D48/$E$2,1)</f>
        <v>0.2</v>
      </c>
      <c r="G48" s="17" t="str">
        <f aca="false">IF(E48&gt;=2,CEILING(D48/$E$2,1),"one-off: "&amp;TEXT(D48,"#,##0")&amp;" total")</f>
        <v>one-off: 1 total</v>
      </c>
      <c r="H48" s="9" t="n">
        <v>12</v>
      </c>
      <c r="I48" s="9" t="n">
        <f aca="false">ROUND(H48/$E$2,0)</f>
        <v>2</v>
      </c>
      <c r="J48" s="5" t="str">
        <f aca="false">A48&amp;"|"&amp;C48</f>
        <v>Sage|LG</v>
      </c>
    </row>
    <row r="49" customFormat="false" ht="15" hidden="false" customHeight="false" outlineLevel="0" collapsed="false">
      <c r="A49" s="18" t="s">
        <v>109</v>
      </c>
      <c r="H49" s="19" t="n">
        <f aca="false">SUM(H5:H48)</f>
        <v>8536</v>
      </c>
      <c r="I49" s="19" t="n">
        <f aca="false">ROUND(H49/$E$2,0)</f>
        <v>1707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true" outlineLevel="0" max="10" min="10" style="0" width="4"/>
  </cols>
  <sheetData>
    <row r="1" customFormat="false" ht="17.35" hidden="false" customHeight="false" outlineLevel="0" collapsed="false">
      <c r="A1" s="4" t="s">
        <v>114</v>
      </c>
    </row>
    <row r="2" customFormat="false" ht="15" hidden="false" customHeight="false" outlineLevel="0" collapsed="false">
      <c r="A2" s="5" t="s">
        <v>115</v>
      </c>
      <c r="E2" s="10" t="n">
        <v>5</v>
      </c>
    </row>
    <row r="4" customFormat="false" ht="15" hidden="false" customHeight="false" outlineLevel="0" collapsed="false">
      <c r="A4" s="11" t="s">
        <v>16</v>
      </c>
      <c r="B4" s="11" t="s">
        <v>17</v>
      </c>
      <c r="C4" s="11" t="s">
        <v>18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</row>
    <row r="5" customFormat="false" ht="15" hidden="false" customHeight="false" outlineLevel="0" collapsed="false">
      <c r="A5" s="12" t="s">
        <v>106</v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7" t="s">
        <v>41</v>
      </c>
      <c r="B6" s="7" t="s">
        <v>42</v>
      </c>
      <c r="C6" s="7" t="s">
        <v>32</v>
      </c>
      <c r="D6" s="14" t="n">
        <v>34</v>
      </c>
      <c r="E6" s="15" t="n">
        <v>4</v>
      </c>
      <c r="F6" s="16" t="n">
        <f aca="false">ROUND(D6/$E$2,1)</f>
        <v>6.8</v>
      </c>
      <c r="G6" s="17" t="n">
        <f aca="false">IF(E6&gt;=2,CEILING(D6/$E$2,1),"one-off: "&amp;TEXT(D6,"#,##0")&amp;" total")</f>
        <v>7</v>
      </c>
      <c r="H6" s="9" t="n">
        <v>850</v>
      </c>
      <c r="I6" s="9" t="n">
        <f aca="false">ROUND(H6/$E$2,0)</f>
        <v>170</v>
      </c>
      <c r="J6" s="5" t="str">
        <f aca="false">A6&amp;"|"&amp;C6</f>
        <v>Radish|LG</v>
      </c>
    </row>
    <row r="7" customFormat="false" ht="15" hidden="false" customHeight="false" outlineLevel="0" collapsed="false">
      <c r="A7" s="7" t="s">
        <v>25</v>
      </c>
      <c r="B7" s="7" t="s">
        <v>26</v>
      </c>
      <c r="C7" s="7" t="s">
        <v>27</v>
      </c>
      <c r="D7" s="14" t="n">
        <v>1975</v>
      </c>
      <c r="E7" s="15" t="n">
        <v>5</v>
      </c>
      <c r="F7" s="16" t="n">
        <f aca="false">ROUND(D7/$E$2,1)</f>
        <v>395</v>
      </c>
      <c r="G7" s="17" t="n">
        <f aca="false">IF(E7&gt;=2,CEILING(D7/$E$2,1),"one-off: "&amp;TEXT(D7,"#,##0")&amp;" total")</f>
        <v>395</v>
      </c>
      <c r="H7" s="9" t="n">
        <v>691</v>
      </c>
      <c r="I7" s="9" t="n">
        <f aca="false">ROUND(H7/$E$2,0)</f>
        <v>138</v>
      </c>
      <c r="J7" s="5" t="str">
        <f aca="false">A7&amp;"|"&amp;C7</f>
        <v>Nasturtium|each</v>
      </c>
    </row>
    <row r="8" customFormat="false" ht="15" hidden="false" customHeight="false" outlineLevel="0" collapsed="false">
      <c r="A8" s="7" t="s">
        <v>51</v>
      </c>
      <c r="B8" s="7" t="s">
        <v>26</v>
      </c>
      <c r="C8" s="7" t="s">
        <v>32</v>
      </c>
      <c r="D8" s="14" t="n">
        <v>34</v>
      </c>
      <c r="E8" s="15" t="n">
        <v>5</v>
      </c>
      <c r="F8" s="16" t="n">
        <f aca="false">ROUND(D8/$E$2,1)</f>
        <v>6.8</v>
      </c>
      <c r="G8" s="17" t="n">
        <f aca="false">IF(E8&gt;=2,CEILING(D8/$E$2,1),"one-off: "&amp;TEXT(D8,"#,##0")&amp;" total")</f>
        <v>7</v>
      </c>
      <c r="H8" s="9" t="n">
        <v>680</v>
      </c>
      <c r="I8" s="9" t="n">
        <f aca="false">ROUND(H8/$E$2,0)</f>
        <v>136</v>
      </c>
      <c r="J8" s="5" t="str">
        <f aca="false">A8&amp;"|"&amp;C8</f>
        <v>Kale|LG</v>
      </c>
    </row>
    <row r="9" customFormat="false" ht="15" hidden="false" customHeight="false" outlineLevel="0" collapsed="false">
      <c r="A9" s="7" t="s">
        <v>47</v>
      </c>
      <c r="B9" s="7" t="s">
        <v>42</v>
      </c>
      <c r="C9" s="7" t="s">
        <v>32</v>
      </c>
      <c r="D9" s="14" t="n">
        <v>30.5</v>
      </c>
      <c r="E9" s="15" t="n">
        <v>4</v>
      </c>
      <c r="F9" s="16" t="n">
        <f aca="false">ROUND(D9/$E$2,1)</f>
        <v>6.1</v>
      </c>
      <c r="G9" s="17" t="n">
        <f aca="false">IF(E9&gt;=2,CEILING(D9/$E$2,1),"one-off: "&amp;TEXT(D9,"#,##0")&amp;" total")</f>
        <v>7</v>
      </c>
      <c r="H9" s="9" t="n">
        <v>602</v>
      </c>
      <c r="I9" s="9" t="n">
        <f aca="false">ROUND(H9/$E$2,0)</f>
        <v>120</v>
      </c>
      <c r="J9" s="5" t="str">
        <f aca="false">A9&amp;"|"&amp;C9</f>
        <v>Mustard Flowers|LG</v>
      </c>
    </row>
    <row r="10" customFormat="false" ht="15" hidden="false" customHeight="false" outlineLevel="0" collapsed="false">
      <c r="A10" s="7" t="s">
        <v>54</v>
      </c>
      <c r="B10" s="7" t="s">
        <v>26</v>
      </c>
      <c r="C10" s="7" t="s">
        <v>32</v>
      </c>
      <c r="D10" s="14" t="n">
        <v>29</v>
      </c>
      <c r="E10" s="15" t="n">
        <v>4</v>
      </c>
      <c r="F10" s="16" t="n">
        <f aca="false">ROUND(D10/$E$2,1)</f>
        <v>5.8</v>
      </c>
      <c r="G10" s="17" t="n">
        <f aca="false">IF(E10&gt;=2,CEILING(D10/$E$2,1),"one-off: "&amp;TEXT(D10,"#,##0")&amp;" total")</f>
        <v>6</v>
      </c>
      <c r="H10" s="9" t="n">
        <v>435</v>
      </c>
      <c r="I10" s="9" t="n">
        <f aca="false">ROUND(H10/$E$2,0)</f>
        <v>87</v>
      </c>
      <c r="J10" s="5" t="str">
        <f aca="false">A10&amp;"|"&amp;C10</f>
        <v>Aptenia|LG</v>
      </c>
    </row>
    <row r="11" customFormat="false" ht="15" hidden="false" customHeight="false" outlineLevel="0" collapsed="false">
      <c r="A11" s="7" t="s">
        <v>56</v>
      </c>
      <c r="B11" s="7" t="s">
        <v>42</v>
      </c>
      <c r="C11" s="7" t="s">
        <v>45</v>
      </c>
      <c r="D11" s="14" t="n">
        <v>39</v>
      </c>
      <c r="E11" s="15" t="n">
        <v>5</v>
      </c>
      <c r="F11" s="16" t="n">
        <f aca="false">ROUND(D11/$E$2,1)</f>
        <v>7.8</v>
      </c>
      <c r="G11" s="17" t="n">
        <f aca="false">IF(E11&gt;=2,CEILING(D11/$E$2,1),"one-off: "&amp;TEXT(D11,"#,##0")&amp;" total")</f>
        <v>8</v>
      </c>
      <c r="H11" s="9" t="n">
        <v>234</v>
      </c>
      <c r="I11" s="9" t="n">
        <f aca="false">ROUND(H11/$E$2,0)</f>
        <v>47</v>
      </c>
      <c r="J11" s="5" t="str">
        <f aca="false">A11&amp;"|"&amp;C11</f>
        <v>Alyssum|SM</v>
      </c>
    </row>
    <row r="12" customFormat="false" ht="15" hidden="false" customHeight="false" outlineLevel="0" collapsed="false">
      <c r="A12" s="7" t="s">
        <v>44</v>
      </c>
      <c r="B12" s="7" t="s">
        <v>42</v>
      </c>
      <c r="C12" s="7" t="s">
        <v>45</v>
      </c>
      <c r="D12" s="14" t="n">
        <v>17</v>
      </c>
      <c r="E12" s="15" t="n">
        <v>4</v>
      </c>
      <c r="F12" s="16" t="n">
        <f aca="false">ROUND(D12/$E$2,1)</f>
        <v>3.4</v>
      </c>
      <c r="G12" s="17" t="n">
        <f aca="false">IF(E12&gt;=2,CEILING(D12/$E$2,1),"one-off: "&amp;TEXT(D12,"#,##0")&amp;" total")</f>
        <v>4</v>
      </c>
      <c r="H12" s="9" t="n">
        <v>182</v>
      </c>
      <c r="I12" s="9" t="n">
        <f aca="false">ROUND(H12/$E$2,0)</f>
        <v>36</v>
      </c>
      <c r="J12" s="5" t="str">
        <f aca="false">A12&amp;"|"&amp;C12</f>
        <v>Marigold|SM</v>
      </c>
    </row>
    <row r="13" customFormat="false" ht="15" hidden="false" customHeight="false" outlineLevel="0" collapsed="false">
      <c r="A13" s="7" t="s">
        <v>53</v>
      </c>
      <c r="B13" s="7" t="s">
        <v>29</v>
      </c>
      <c r="C13" s="7" t="s">
        <v>32</v>
      </c>
      <c r="D13" s="14" t="n">
        <v>12</v>
      </c>
      <c r="E13" s="15" t="n">
        <v>4</v>
      </c>
      <c r="F13" s="16" t="n">
        <f aca="false">ROUND(D13/$E$2,1)</f>
        <v>2.4</v>
      </c>
      <c r="G13" s="17" t="n">
        <f aca="false">IF(E13&gt;=2,CEILING(D13/$E$2,1),"one-off: "&amp;TEXT(D13,"#,##0")&amp;" total")</f>
        <v>3</v>
      </c>
      <c r="H13" s="9" t="n">
        <v>144</v>
      </c>
      <c r="I13" s="9" t="n">
        <f aca="false">ROUND(H13/$E$2,0)</f>
        <v>29</v>
      </c>
      <c r="J13" s="5" t="str">
        <f aca="false">A13&amp;"|"&amp;C13</f>
        <v>Beans|LG</v>
      </c>
    </row>
    <row r="14" customFormat="false" ht="15" hidden="false" customHeight="false" outlineLevel="0" collapsed="false">
      <c r="A14" s="7" t="s">
        <v>37</v>
      </c>
      <c r="B14" s="7" t="s">
        <v>29</v>
      </c>
      <c r="C14" s="7" t="s">
        <v>32</v>
      </c>
      <c r="D14" s="14" t="n">
        <v>7</v>
      </c>
      <c r="E14" s="15" t="n">
        <v>5</v>
      </c>
      <c r="F14" s="16" t="n">
        <f aca="false">ROUND(D14/$E$2,1)</f>
        <v>1.4</v>
      </c>
      <c r="G14" s="17" t="n">
        <f aca="false">IF(E14&gt;=2,CEILING(D14/$E$2,1),"one-off: "&amp;TEXT(D14,"#,##0")&amp;" total")</f>
        <v>2</v>
      </c>
      <c r="H14" s="9" t="n">
        <v>84</v>
      </c>
      <c r="I14" s="9" t="n">
        <f aca="false">ROUND(H14/$E$2,0)</f>
        <v>17</v>
      </c>
      <c r="J14" s="5" t="str">
        <f aca="false">A14&amp;"|"&amp;C14</f>
        <v>Carrots|LG</v>
      </c>
    </row>
    <row r="15" customFormat="false" ht="15" hidden="false" customHeight="false" outlineLevel="0" collapsed="false">
      <c r="A15" s="7" t="s">
        <v>41</v>
      </c>
      <c r="B15" s="7" t="s">
        <v>42</v>
      </c>
      <c r="C15" s="7" t="s">
        <v>45</v>
      </c>
      <c r="D15" s="14" t="n">
        <v>8</v>
      </c>
      <c r="E15" s="15" t="n">
        <v>4</v>
      </c>
      <c r="F15" s="16" t="n">
        <f aca="false">ROUND(D15/$E$2,1)</f>
        <v>1.6</v>
      </c>
      <c r="G15" s="17" t="n">
        <f aca="false">IF(E15&gt;=2,CEILING(D15/$E$2,1),"one-off: "&amp;TEXT(D15,"#,##0")&amp;" total")</f>
        <v>2</v>
      </c>
      <c r="H15" s="9" t="n">
        <v>80</v>
      </c>
      <c r="I15" s="9" t="n">
        <f aca="false">ROUND(H15/$E$2,0)</f>
        <v>16</v>
      </c>
      <c r="J15" s="5" t="str">
        <f aca="false">A15&amp;"|"&amp;C15</f>
        <v>Radish|SM</v>
      </c>
    </row>
    <row r="16" customFormat="false" ht="15" hidden="false" customHeight="false" outlineLevel="0" collapsed="false">
      <c r="A16" s="12" t="s">
        <v>107</v>
      </c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7" t="s">
        <v>33</v>
      </c>
      <c r="B17" s="7" t="s">
        <v>29</v>
      </c>
      <c r="C17" s="7" t="s">
        <v>32</v>
      </c>
      <c r="D17" s="14" t="n">
        <v>133</v>
      </c>
      <c r="E17" s="15" t="n">
        <v>3</v>
      </c>
      <c r="F17" s="16" t="n">
        <f aca="false">ROUND(D17/$E$2,1)</f>
        <v>26.6</v>
      </c>
      <c r="G17" s="17" t="n">
        <f aca="false">IF(E17&gt;=2,CEILING(D17/$E$2,1),"one-off: "&amp;TEXT(D17,"#,##0")&amp;" total")</f>
        <v>27</v>
      </c>
      <c r="H17" s="9" t="n">
        <v>2660</v>
      </c>
      <c r="I17" s="9" t="n">
        <f aca="false">ROUND(H17/$E$2,0)</f>
        <v>532</v>
      </c>
      <c r="J17" s="5" t="str">
        <f aca="false">A17&amp;"|"&amp;C17</f>
        <v>Cauliflower|LG</v>
      </c>
    </row>
    <row r="18" customFormat="false" ht="15" hidden="false" customHeight="false" outlineLevel="0" collapsed="false">
      <c r="A18" s="7" t="s">
        <v>37</v>
      </c>
      <c r="B18" s="7" t="s">
        <v>29</v>
      </c>
      <c r="C18" s="7" t="s">
        <v>27</v>
      </c>
      <c r="D18" s="14" t="n">
        <v>125</v>
      </c>
      <c r="E18" s="15" t="n">
        <v>2</v>
      </c>
      <c r="F18" s="16" t="n">
        <f aca="false">ROUND(D18/$E$2,1)</f>
        <v>25</v>
      </c>
      <c r="G18" s="17" t="n">
        <f aca="false">IF(E18&gt;=2,CEILING(D18/$E$2,1),"one-off: "&amp;TEXT(D18,"#,##0")&amp;" total")</f>
        <v>25</v>
      </c>
      <c r="H18" s="9" t="n">
        <v>438</v>
      </c>
      <c r="I18" s="9" t="n">
        <f aca="false">ROUND(H18/$E$2,0)</f>
        <v>88</v>
      </c>
      <c r="J18" s="5" t="str">
        <f aca="false">A18&amp;"|"&amp;C18</f>
        <v>Carrots|each</v>
      </c>
    </row>
    <row r="19" customFormat="false" ht="15" hidden="false" customHeight="false" outlineLevel="0" collapsed="false">
      <c r="A19" s="7" t="s">
        <v>59</v>
      </c>
      <c r="B19" s="7" t="s">
        <v>29</v>
      </c>
      <c r="C19" s="7" t="s">
        <v>32</v>
      </c>
      <c r="D19" s="14" t="n">
        <v>8.5</v>
      </c>
      <c r="E19" s="15" t="n">
        <v>2</v>
      </c>
      <c r="F19" s="16" t="n">
        <f aca="false">ROUND(D19/$E$2,1)</f>
        <v>1.7</v>
      </c>
      <c r="G19" s="17" t="n">
        <f aca="false">IF(E19&gt;=2,CEILING(D19/$E$2,1),"one-off: "&amp;TEXT(D19,"#,##0")&amp;" total")</f>
        <v>2</v>
      </c>
      <c r="H19" s="9" t="n">
        <v>128</v>
      </c>
      <c r="I19" s="9" t="n">
        <f aca="false">ROUND(H19/$E$2,0)</f>
        <v>26</v>
      </c>
      <c r="J19" s="5" t="str">
        <f aca="false">A19&amp;"|"&amp;C19</f>
        <v>New Zealand Spinach|LG</v>
      </c>
    </row>
    <row r="20" customFormat="false" ht="15" hidden="false" customHeight="false" outlineLevel="0" collapsed="false">
      <c r="A20" s="7" t="s">
        <v>74</v>
      </c>
      <c r="B20" s="7" t="s">
        <v>29</v>
      </c>
      <c r="C20" s="7" t="s">
        <v>32</v>
      </c>
      <c r="D20" s="14" t="n">
        <v>6</v>
      </c>
      <c r="E20" s="15" t="n">
        <v>2</v>
      </c>
      <c r="F20" s="16" t="n">
        <f aca="false">ROUND(D20/$E$2,1)</f>
        <v>1.2</v>
      </c>
      <c r="G20" s="17" t="n">
        <f aca="false">IF(E20&gt;=2,CEILING(D20/$E$2,1),"one-off: "&amp;TEXT(D20,"#,##0")&amp;" total")</f>
        <v>2</v>
      </c>
      <c r="H20" s="9" t="n">
        <v>113</v>
      </c>
      <c r="I20" s="9" t="n">
        <f aca="false">ROUND(H20/$E$2,0)</f>
        <v>23</v>
      </c>
      <c r="J20" s="5" t="str">
        <f aca="false">A20&amp;"|"&amp;C20</f>
        <v>Broccoli|LG</v>
      </c>
    </row>
    <row r="21" customFormat="false" ht="15" hidden="false" customHeight="false" outlineLevel="0" collapsed="false">
      <c r="A21" s="7" t="s">
        <v>82</v>
      </c>
      <c r="B21" s="7" t="s">
        <v>42</v>
      </c>
      <c r="C21" s="7" t="s">
        <v>45</v>
      </c>
      <c r="D21" s="14" t="n">
        <v>9</v>
      </c>
      <c r="E21" s="15" t="n">
        <v>2</v>
      </c>
      <c r="F21" s="16" t="n">
        <f aca="false">ROUND(D21/$E$2,1)</f>
        <v>1.8</v>
      </c>
      <c r="G21" s="17" t="n">
        <f aca="false">IF(E21&gt;=2,CEILING(D21/$E$2,1),"one-off: "&amp;TEXT(D21,"#,##0")&amp;" total")</f>
        <v>2</v>
      </c>
      <c r="H21" s="9" t="n">
        <v>90</v>
      </c>
      <c r="I21" s="9" t="n">
        <f aca="false">ROUND(H21/$E$2,0)</f>
        <v>18</v>
      </c>
      <c r="J21" s="5" t="str">
        <f aca="false">A21&amp;"|"&amp;C21</f>
        <v>Buckwheat|SM</v>
      </c>
    </row>
    <row r="22" customFormat="false" ht="15" hidden="false" customHeight="false" outlineLevel="0" collapsed="false">
      <c r="A22" s="7" t="s">
        <v>52</v>
      </c>
      <c r="B22" s="7" t="s">
        <v>42</v>
      </c>
      <c r="C22" s="7" t="s">
        <v>45</v>
      </c>
      <c r="D22" s="14" t="n">
        <v>6</v>
      </c>
      <c r="E22" s="15" t="n">
        <v>3</v>
      </c>
      <c r="F22" s="16" t="n">
        <f aca="false">ROUND(D22/$E$2,1)</f>
        <v>1.2</v>
      </c>
      <c r="G22" s="17" t="n">
        <f aca="false">IF(E22&gt;=2,CEILING(D22/$E$2,1),"one-off: "&amp;TEXT(D22,"#,##0")&amp;" total")</f>
        <v>2</v>
      </c>
      <c r="H22" s="9" t="n">
        <v>72</v>
      </c>
      <c r="I22" s="9" t="n">
        <f aca="false">ROUND(H22/$E$2,0)</f>
        <v>14</v>
      </c>
      <c r="J22" s="5" t="str">
        <f aca="false">A22&amp;"|"&amp;C22</f>
        <v>Egyptian Starflower|SM</v>
      </c>
    </row>
    <row r="23" customFormat="false" ht="15" hidden="false" customHeight="false" outlineLevel="0" collapsed="false">
      <c r="A23" s="7" t="s">
        <v>72</v>
      </c>
      <c r="B23" s="7" t="s">
        <v>26</v>
      </c>
      <c r="C23" s="7" t="s">
        <v>27</v>
      </c>
      <c r="D23" s="14" t="n">
        <v>350</v>
      </c>
      <c r="E23" s="15" t="n">
        <v>3</v>
      </c>
      <c r="F23" s="16" t="n">
        <f aca="false">ROUND(D23/$E$2,1)</f>
        <v>70</v>
      </c>
      <c r="G23" s="17" t="n">
        <f aca="false">IF(E23&gt;=2,CEILING(D23/$E$2,1),"one-off: "&amp;TEXT(D23,"#,##0")&amp;" total")</f>
        <v>70</v>
      </c>
      <c r="H23" s="9" t="n">
        <v>70</v>
      </c>
      <c r="I23" s="9" t="n">
        <f aca="false">ROUND(H23/$E$2,0)</f>
        <v>14</v>
      </c>
      <c r="J23" s="5" t="str">
        <f aca="false">A23&amp;"|"&amp;C23</f>
        <v>Rosemary|each</v>
      </c>
    </row>
    <row r="24" customFormat="false" ht="15" hidden="false" customHeight="false" outlineLevel="0" collapsed="false">
      <c r="A24" s="7" t="s">
        <v>86</v>
      </c>
      <c r="B24" s="7" t="s">
        <v>42</v>
      </c>
      <c r="C24" s="7" t="s">
        <v>32</v>
      </c>
      <c r="D24" s="14" t="n">
        <v>2</v>
      </c>
      <c r="E24" s="15" t="n">
        <v>2</v>
      </c>
      <c r="F24" s="16" t="n">
        <f aca="false">ROUND(D24/$E$2,1)</f>
        <v>0.4</v>
      </c>
      <c r="G24" s="17" t="n">
        <f aca="false">IF(E24&gt;=2,CEILING(D24/$E$2,1),"one-off: "&amp;TEXT(D24,"#,##0")&amp;" total")</f>
        <v>1</v>
      </c>
      <c r="H24" s="9" t="n">
        <v>60</v>
      </c>
      <c r="I24" s="9" t="n">
        <f aca="false">ROUND(H24/$E$2,0)</f>
        <v>12</v>
      </c>
      <c r="J24" s="5" t="str">
        <f aca="false">A24&amp;"|"&amp;C24</f>
        <v>Sorrel|LG</v>
      </c>
    </row>
    <row r="25" customFormat="false" ht="15" hidden="false" customHeight="false" outlineLevel="0" collapsed="false">
      <c r="A25" s="7" t="s">
        <v>58</v>
      </c>
      <c r="B25" s="7" t="s">
        <v>26</v>
      </c>
      <c r="C25" s="7" t="s">
        <v>32</v>
      </c>
      <c r="D25" s="14" t="n">
        <v>4.5</v>
      </c>
      <c r="E25" s="15" t="n">
        <v>2</v>
      </c>
      <c r="F25" s="16" t="n">
        <f aca="false">ROUND(D25/$E$2,1)</f>
        <v>0.9</v>
      </c>
      <c r="G25" s="17" t="n">
        <f aca="false">IF(E25&gt;=2,CEILING(D25/$E$2,1),"one-off: "&amp;TEXT(D25,"#,##0")&amp;" total")</f>
        <v>1</v>
      </c>
      <c r="H25" s="9" t="n">
        <v>58</v>
      </c>
      <c r="I25" s="9" t="n">
        <f aca="false">ROUND(H25/$E$2,0)</f>
        <v>12</v>
      </c>
      <c r="J25" s="5" t="str">
        <f aca="false">A25&amp;"|"&amp;C25</f>
        <v>Mint|LG</v>
      </c>
    </row>
    <row r="26" customFormat="false" ht="15" hidden="false" customHeight="false" outlineLevel="0" collapsed="false">
      <c r="A26" s="7" t="s">
        <v>69</v>
      </c>
      <c r="B26" s="7" t="s">
        <v>26</v>
      </c>
      <c r="C26" s="7" t="s">
        <v>32</v>
      </c>
      <c r="D26" s="14" t="n">
        <v>4</v>
      </c>
      <c r="E26" s="15" t="n">
        <v>3</v>
      </c>
      <c r="F26" s="16" t="n">
        <f aca="false">ROUND(D26/$E$2,1)</f>
        <v>0.8</v>
      </c>
      <c r="G26" s="17" t="n">
        <f aca="false">IF(E26&gt;=2,CEILING(D26/$E$2,1),"one-off: "&amp;TEXT(D26,"#,##0")&amp;" total")</f>
        <v>1</v>
      </c>
      <c r="H26" s="9" t="n">
        <v>48</v>
      </c>
      <c r="I26" s="9" t="n">
        <f aca="false">ROUND(H26/$E$2,0)</f>
        <v>10</v>
      </c>
      <c r="J26" s="5" t="str">
        <f aca="false">A26&amp;"|"&amp;C26</f>
        <v>Field Pea Tendrils|LG</v>
      </c>
    </row>
    <row r="27" customFormat="false" ht="15" hidden="false" customHeight="false" outlineLevel="0" collapsed="false">
      <c r="A27" s="7" t="s">
        <v>55</v>
      </c>
      <c r="B27" s="7" t="s">
        <v>42</v>
      </c>
      <c r="C27" s="7" t="s">
        <v>32</v>
      </c>
      <c r="D27" s="14" t="n">
        <v>3</v>
      </c>
      <c r="E27" s="15" t="n">
        <v>2</v>
      </c>
      <c r="F27" s="16" t="n">
        <f aca="false">ROUND(D27/$E$2,1)</f>
        <v>0.6</v>
      </c>
      <c r="G27" s="17" t="n">
        <f aca="false">IF(E27&gt;=2,CEILING(D27/$E$2,1),"one-off: "&amp;TEXT(D27,"#,##0")&amp;" total")</f>
        <v>1</v>
      </c>
      <c r="H27" s="9" t="n">
        <v>45</v>
      </c>
      <c r="I27" s="9" t="n">
        <f aca="false">ROUND(H27/$E$2,0)</f>
        <v>9</v>
      </c>
      <c r="J27" s="5" t="str">
        <f aca="false">A27&amp;"|"&amp;C27</f>
        <v>Zinnias|LG</v>
      </c>
    </row>
    <row r="28" customFormat="false" ht="15" hidden="false" customHeight="false" outlineLevel="0" collapsed="false">
      <c r="A28" s="7" t="s">
        <v>71</v>
      </c>
      <c r="B28" s="7" t="s">
        <v>36</v>
      </c>
      <c r="C28" s="7" t="s">
        <v>32</v>
      </c>
      <c r="D28" s="14" t="n">
        <v>3</v>
      </c>
      <c r="E28" s="15" t="n">
        <v>2</v>
      </c>
      <c r="F28" s="16" t="n">
        <f aca="false">ROUND(D28/$E$2,1)</f>
        <v>0.6</v>
      </c>
      <c r="G28" s="17" t="n">
        <f aca="false">IF(E28&gt;=2,CEILING(D28/$E$2,1),"one-off: "&amp;TEXT(D28,"#,##0")&amp;" total")</f>
        <v>1</v>
      </c>
      <c r="H28" s="9" t="n">
        <v>45</v>
      </c>
      <c r="I28" s="9" t="n">
        <f aca="false">ROUND(H28/$E$2,0)</f>
        <v>9</v>
      </c>
      <c r="J28" s="5" t="str">
        <f aca="false">A28&amp;"|"&amp;C28</f>
        <v>Cress|LG</v>
      </c>
    </row>
    <row r="29" customFormat="false" ht="15" hidden="false" customHeight="false" outlineLevel="0" collapsed="false">
      <c r="A29" s="7" t="s">
        <v>60</v>
      </c>
      <c r="B29" s="7" t="s">
        <v>26</v>
      </c>
      <c r="C29" s="7" t="s">
        <v>40</v>
      </c>
      <c r="D29" s="14" t="n">
        <v>2</v>
      </c>
      <c r="E29" s="15" t="n">
        <v>2</v>
      </c>
      <c r="F29" s="16" t="n">
        <f aca="false">ROUND(D29/$E$2,1)</f>
        <v>0.4</v>
      </c>
      <c r="G29" s="17" t="n">
        <f aca="false">IF(E29&gt;=2,CEILING(D29/$E$2,1),"one-off: "&amp;TEXT(D29,"#,##0")&amp;" total")</f>
        <v>1</v>
      </c>
      <c r="H29" s="9" t="n">
        <v>40</v>
      </c>
      <c r="I29" s="9" t="n">
        <f aca="false">ROUND(H29/$E$2,0)</f>
        <v>8</v>
      </c>
      <c r="J29" s="5" t="str">
        <f aca="false">A29&amp;"|"&amp;C29</f>
        <v>Evergreen Branches|box</v>
      </c>
    </row>
    <row r="30" customFormat="false" ht="15" hidden="false" customHeight="false" outlineLevel="0" collapsed="false">
      <c r="A30" s="7" t="s">
        <v>63</v>
      </c>
      <c r="B30" s="7" t="s">
        <v>36</v>
      </c>
      <c r="C30" s="7" t="s">
        <v>32</v>
      </c>
      <c r="D30" s="14" t="n">
        <v>2.5</v>
      </c>
      <c r="E30" s="15" t="n">
        <v>2</v>
      </c>
      <c r="F30" s="16" t="n">
        <f aca="false">ROUND(D30/$E$2,1)</f>
        <v>0.5</v>
      </c>
      <c r="G30" s="17" t="n">
        <f aca="false">IF(E30&gt;=2,CEILING(D30/$E$2,1),"one-off: "&amp;TEXT(D30,"#,##0")&amp;" total")</f>
        <v>1</v>
      </c>
      <c r="H30" s="9" t="n">
        <v>38</v>
      </c>
      <c r="I30" s="9" t="n">
        <f aca="false">ROUND(H30/$E$2,0)</f>
        <v>8</v>
      </c>
      <c r="J30" s="5" t="str">
        <f aca="false">A30&amp;"|"&amp;C30</f>
        <v>Fennel|LG</v>
      </c>
    </row>
    <row r="31" customFormat="false" ht="15" hidden="false" customHeight="false" outlineLevel="0" collapsed="false">
      <c r="A31" s="7" t="s">
        <v>44</v>
      </c>
      <c r="B31" s="7" t="s">
        <v>42</v>
      </c>
      <c r="C31" s="7" t="s">
        <v>32</v>
      </c>
      <c r="D31" s="14" t="n">
        <v>3</v>
      </c>
      <c r="E31" s="15" t="n">
        <v>3</v>
      </c>
      <c r="F31" s="16" t="n">
        <f aca="false">ROUND(D31/$E$2,1)</f>
        <v>0.6</v>
      </c>
      <c r="G31" s="17" t="n">
        <f aca="false">IF(E31&gt;=2,CEILING(D31/$E$2,1),"one-off: "&amp;TEXT(D31,"#,##0")&amp;" total")</f>
        <v>1</v>
      </c>
      <c r="H31" s="9" t="n">
        <v>36</v>
      </c>
      <c r="I31" s="9" t="n">
        <f aca="false">ROUND(H31/$E$2,0)</f>
        <v>7</v>
      </c>
      <c r="J31" s="5" t="str">
        <f aca="false">A31&amp;"|"&amp;C31</f>
        <v>Marigold|LG</v>
      </c>
    </row>
    <row r="32" customFormat="false" ht="15" hidden="false" customHeight="false" outlineLevel="0" collapsed="false">
      <c r="A32" s="7" t="s">
        <v>49</v>
      </c>
      <c r="B32" s="7" t="s">
        <v>42</v>
      </c>
      <c r="C32" s="7" t="s">
        <v>45</v>
      </c>
      <c r="D32" s="14" t="n">
        <v>2</v>
      </c>
      <c r="E32" s="15" t="n">
        <v>2</v>
      </c>
      <c r="F32" s="16" t="n">
        <f aca="false">ROUND(D32/$E$2,1)</f>
        <v>0.4</v>
      </c>
      <c r="G32" s="17" t="n">
        <f aca="false">IF(E32&gt;=2,CEILING(D32/$E$2,1),"one-off: "&amp;TEXT(D32,"#,##0")&amp;" total")</f>
        <v>1</v>
      </c>
      <c r="H32" s="9" t="n">
        <v>24</v>
      </c>
      <c r="I32" s="9" t="n">
        <f aca="false">ROUND(H32/$E$2,0)</f>
        <v>5</v>
      </c>
      <c r="J32" s="5" t="str">
        <f aca="false">A32&amp;"|"&amp;C32</f>
        <v>Forget-Me-Nots|SM</v>
      </c>
    </row>
    <row r="33" customFormat="false" ht="15" hidden="false" customHeight="false" outlineLevel="0" collapsed="false">
      <c r="A33" s="12" t="s">
        <v>108</v>
      </c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7" t="s">
        <v>38</v>
      </c>
      <c r="B34" s="7" t="s">
        <v>26</v>
      </c>
      <c r="C34" s="7" t="s">
        <v>32</v>
      </c>
      <c r="D34" s="14" t="n">
        <v>100</v>
      </c>
      <c r="E34" s="15" t="n">
        <v>1</v>
      </c>
      <c r="F34" s="16" t="n">
        <f aca="false">ROUND(D34/$E$2,1)</f>
        <v>20</v>
      </c>
      <c r="G34" s="17" t="str">
        <f aca="false">IF(E34&gt;=2,CEILING(D34/$E$2,1),"one-off: "&amp;TEXT(D34,"#,##0")&amp;" total")</f>
        <v>one-off: 100 total</v>
      </c>
      <c r="H34" s="9" t="n">
        <v>2500</v>
      </c>
      <c r="I34" s="9" t="n">
        <f aca="false">ROUND(H34/$E$2,0)</f>
        <v>500</v>
      </c>
      <c r="J34" s="5" t="str">
        <f aca="false">A34&amp;"|"&amp;C34</f>
        <v>Turnip - Leaves|LG</v>
      </c>
    </row>
    <row r="35" customFormat="false" ht="15" hidden="false" customHeight="false" outlineLevel="0" collapsed="false">
      <c r="A35" s="7" t="s">
        <v>43</v>
      </c>
      <c r="B35" s="7" t="s">
        <v>29</v>
      </c>
      <c r="C35" s="7" t="s">
        <v>27</v>
      </c>
      <c r="D35" s="14" t="n">
        <v>545</v>
      </c>
      <c r="E35" s="15" t="n">
        <v>1</v>
      </c>
      <c r="F35" s="16" t="n">
        <f aca="false">ROUND(D35/$E$2,1)</f>
        <v>109</v>
      </c>
      <c r="G35" s="17" t="str">
        <f aca="false">IF(E35&gt;=2,CEILING(D35/$E$2,1),"one-off: "&amp;TEXT(D35,"#,##0")&amp;" total")</f>
        <v>one-off: 545 total</v>
      </c>
      <c r="H35" s="9" t="n">
        <v>2044</v>
      </c>
      <c r="I35" s="9" t="n">
        <f aca="false">ROUND(H35/$E$2,0)</f>
        <v>409</v>
      </c>
      <c r="J35" s="5" t="str">
        <f aca="false">A35&amp;"|"&amp;C35</f>
        <v>Persimmon|each</v>
      </c>
    </row>
    <row r="36" customFormat="false" ht="15" hidden="false" customHeight="false" outlineLevel="0" collapsed="false">
      <c r="A36" s="7" t="s">
        <v>65</v>
      </c>
      <c r="B36" s="7" t="s">
        <v>26</v>
      </c>
      <c r="C36" s="7" t="s">
        <v>32</v>
      </c>
      <c r="D36" s="14" t="n">
        <v>20</v>
      </c>
      <c r="E36" s="15" t="n">
        <v>1</v>
      </c>
      <c r="F36" s="16" t="n">
        <f aca="false">ROUND(D36/$E$2,1)</f>
        <v>4</v>
      </c>
      <c r="G36" s="17" t="str">
        <f aca="false">IF(E36&gt;=2,CEILING(D36/$E$2,1),"one-off: "&amp;TEXT(D36,"#,##0")&amp;" total")</f>
        <v>one-off: 20 total</v>
      </c>
      <c r="H36" s="9" t="n">
        <v>300</v>
      </c>
      <c r="I36" s="9" t="n">
        <f aca="false">ROUND(H36/$E$2,0)</f>
        <v>60</v>
      </c>
      <c r="J36" s="5" t="str">
        <f aca="false">A36&amp;"|"&amp;C36</f>
        <v>Cabbage|LG</v>
      </c>
    </row>
    <row r="37" customFormat="false" ht="15" hidden="false" customHeight="false" outlineLevel="0" collapsed="false">
      <c r="A37" s="7" t="s">
        <v>35</v>
      </c>
      <c r="B37" s="7" t="s">
        <v>36</v>
      </c>
      <c r="C37" s="7" t="s">
        <v>32</v>
      </c>
      <c r="D37" s="14" t="n">
        <v>8</v>
      </c>
      <c r="E37" s="15" t="n">
        <v>1</v>
      </c>
      <c r="F37" s="16" t="n">
        <f aca="false">ROUND(D37/$E$2,1)</f>
        <v>1.6</v>
      </c>
      <c r="G37" s="17" t="str">
        <f aca="false">IF(E37&gt;=2,CEILING(D37/$E$2,1),"one-off: "&amp;TEXT(D37,"#,##0")&amp;" total")</f>
        <v>one-off: 8 total</v>
      </c>
      <c r="H37" s="9" t="n">
        <v>120</v>
      </c>
      <c r="I37" s="9" t="n">
        <f aca="false">ROUND(H37/$E$2,0)</f>
        <v>24</v>
      </c>
      <c r="J37" s="5" t="str">
        <f aca="false">A37&amp;"|"&amp;C37</f>
        <v>Anise Hyssop|LG</v>
      </c>
    </row>
    <row r="38" customFormat="false" ht="15" hidden="false" customHeight="false" outlineLevel="0" collapsed="false">
      <c r="A38" s="7" t="s">
        <v>78</v>
      </c>
      <c r="B38" s="7" t="s">
        <v>26</v>
      </c>
      <c r="C38" s="7" t="s">
        <v>32</v>
      </c>
      <c r="D38" s="14" t="n">
        <v>6</v>
      </c>
      <c r="E38" s="15" t="n">
        <v>1</v>
      </c>
      <c r="F38" s="16" t="n">
        <f aca="false">ROUND(D38/$E$2,1)</f>
        <v>1.2</v>
      </c>
      <c r="G38" s="17" t="str">
        <f aca="false">IF(E38&gt;=2,CEILING(D38/$E$2,1),"one-off: "&amp;TEXT(D38,"#,##0")&amp;" total")</f>
        <v>one-off: 6 total</v>
      </c>
      <c r="H38" s="9" t="n">
        <v>72</v>
      </c>
      <c r="I38" s="9" t="n">
        <f aca="false">ROUND(H38/$E$2,0)</f>
        <v>14</v>
      </c>
      <c r="J38" s="5" t="str">
        <f aca="false">A38&amp;"|"&amp;C38</f>
        <v>Samples|LG</v>
      </c>
    </row>
    <row r="39" customFormat="false" ht="15" hidden="false" customHeight="false" outlineLevel="0" collapsed="false">
      <c r="A39" s="7" t="s">
        <v>79</v>
      </c>
      <c r="B39" s="7" t="s">
        <v>26</v>
      </c>
      <c r="C39" s="7" t="s">
        <v>32</v>
      </c>
      <c r="D39" s="14" t="n">
        <v>2</v>
      </c>
      <c r="E39" s="15" t="n">
        <v>1</v>
      </c>
      <c r="F39" s="16" t="n">
        <f aca="false">ROUND(D39/$E$2,1)</f>
        <v>0.4</v>
      </c>
      <c r="G39" s="17" t="str">
        <f aca="false">IF(E39&gt;=2,CEILING(D39/$E$2,1),"one-off: "&amp;TEXT(D39,"#,##0")&amp;" total")</f>
        <v>one-off: 2 total</v>
      </c>
      <c r="H39" s="9" t="n">
        <v>40</v>
      </c>
      <c r="I39" s="9" t="n">
        <f aca="false">ROUND(H39/$E$2,0)</f>
        <v>8</v>
      </c>
      <c r="J39" s="5" t="str">
        <f aca="false">A39&amp;"|"&amp;C39</f>
        <v>Bay Leaf|LG</v>
      </c>
    </row>
    <row r="40" customFormat="false" ht="15" hidden="false" customHeight="false" outlineLevel="0" collapsed="false">
      <c r="A40" s="7" t="s">
        <v>61</v>
      </c>
      <c r="B40" s="7" t="s">
        <v>42</v>
      </c>
      <c r="C40" s="7" t="s">
        <v>32</v>
      </c>
      <c r="D40" s="14" t="n">
        <v>1</v>
      </c>
      <c r="E40" s="15" t="n">
        <v>1</v>
      </c>
      <c r="F40" s="16" t="n">
        <f aca="false">ROUND(D40/$E$2,1)</f>
        <v>0.2</v>
      </c>
      <c r="G40" s="17" t="str">
        <f aca="false">IF(E40&gt;=2,CEILING(D40/$E$2,1),"one-off: "&amp;TEXT(D40,"#,##0")&amp;" total")</f>
        <v>one-off: 1 total</v>
      </c>
      <c r="H40" s="9" t="n">
        <v>20</v>
      </c>
      <c r="I40" s="9" t="n">
        <f aca="false">ROUND(H40/$E$2,0)</f>
        <v>4</v>
      </c>
      <c r="J40" s="5" t="str">
        <f aca="false">A40&amp;"|"&amp;C40</f>
        <v>Society Garlic|LG</v>
      </c>
    </row>
    <row r="41" customFormat="false" ht="15" hidden="false" customHeight="false" outlineLevel="0" collapsed="false">
      <c r="A41" s="7" t="s">
        <v>80</v>
      </c>
      <c r="B41" s="7" t="s">
        <v>26</v>
      </c>
      <c r="C41" s="7" t="s">
        <v>32</v>
      </c>
      <c r="D41" s="14" t="n">
        <v>1</v>
      </c>
      <c r="E41" s="15" t="n">
        <v>1</v>
      </c>
      <c r="F41" s="16" t="n">
        <f aca="false">ROUND(D41/$E$2,1)</f>
        <v>0.2</v>
      </c>
      <c r="G41" s="17" t="str">
        <f aca="false">IF(E41&gt;=2,CEILING(D41/$E$2,1),"one-off: "&amp;TEXT(D41,"#,##0")&amp;" total")</f>
        <v>one-off: 1 total</v>
      </c>
      <c r="H41" s="9" t="n">
        <v>18</v>
      </c>
      <c r="I41" s="9" t="n">
        <f aca="false">ROUND(H41/$E$2,0)</f>
        <v>4</v>
      </c>
      <c r="J41" s="5" t="str">
        <f aca="false">A41&amp;"|"&amp;C41</f>
        <v>Chrysanthemum|LG</v>
      </c>
    </row>
    <row r="42" customFormat="false" ht="15" hidden="false" customHeight="false" outlineLevel="0" collapsed="false">
      <c r="A42" s="7" t="s">
        <v>92</v>
      </c>
      <c r="B42" s="7" t="s">
        <v>26</v>
      </c>
      <c r="C42" s="7" t="s">
        <v>32</v>
      </c>
      <c r="D42" s="14" t="n">
        <v>1</v>
      </c>
      <c r="E42" s="15" t="n">
        <v>1</v>
      </c>
      <c r="F42" s="16" t="n">
        <f aca="false">ROUND(D42/$E$2,1)</f>
        <v>0.2</v>
      </c>
      <c r="G42" s="17" t="str">
        <f aca="false">IF(E42&gt;=2,CEILING(D42/$E$2,1),"one-off: "&amp;TEXT(D42,"#,##0")&amp;" total")</f>
        <v>one-off: 1 total</v>
      </c>
      <c r="H42" s="9" t="n">
        <v>12</v>
      </c>
      <c r="I42" s="9" t="n">
        <f aca="false">ROUND(H42/$E$2,0)</f>
        <v>2</v>
      </c>
      <c r="J42" s="5" t="str">
        <f aca="false">A42&amp;"|"&amp;C42</f>
        <v>Chickweed|LG</v>
      </c>
    </row>
    <row r="43" customFormat="false" ht="15" hidden="false" customHeight="false" outlineLevel="0" collapsed="false">
      <c r="A43" s="7" t="s">
        <v>83</v>
      </c>
      <c r="B43" s="7" t="s">
        <v>42</v>
      </c>
      <c r="C43" s="7" t="s">
        <v>45</v>
      </c>
      <c r="D43" s="14" t="n">
        <v>2</v>
      </c>
      <c r="E43" s="15" t="n">
        <v>1</v>
      </c>
      <c r="F43" s="16" t="n">
        <f aca="false">ROUND(D43/$E$2,1)</f>
        <v>0.4</v>
      </c>
      <c r="G43" s="17" t="str">
        <f aca="false">IF(E43&gt;=2,CEILING(D43/$E$2,1),"one-off: "&amp;TEXT(D43,"#,##0")&amp;" total")</f>
        <v>one-off: 2 total</v>
      </c>
      <c r="H43" s="9" t="n">
        <v>12</v>
      </c>
      <c r="I43" s="9" t="n">
        <f aca="false">ROUND(H43/$E$2,0)</f>
        <v>2</v>
      </c>
      <c r="J43" s="5" t="str">
        <f aca="false">A43&amp;"|"&amp;C43</f>
        <v>Oxalis Flowers|SM</v>
      </c>
    </row>
    <row r="44" customFormat="false" ht="15" hidden="false" customHeight="false" outlineLevel="0" collapsed="false">
      <c r="A44" s="7" t="s">
        <v>86</v>
      </c>
      <c r="B44" s="7" t="s">
        <v>42</v>
      </c>
      <c r="C44" s="7" t="s">
        <v>45</v>
      </c>
      <c r="D44" s="14" t="n">
        <v>1</v>
      </c>
      <c r="E44" s="15" t="n">
        <v>1</v>
      </c>
      <c r="F44" s="16" t="n">
        <f aca="false">ROUND(D44/$E$2,1)</f>
        <v>0.2</v>
      </c>
      <c r="G44" s="17" t="str">
        <f aca="false">IF(E44&gt;=2,CEILING(D44/$E$2,1),"one-off: "&amp;TEXT(D44,"#,##0")&amp;" total")</f>
        <v>one-off: 1 total</v>
      </c>
      <c r="H44" s="9" t="n">
        <v>6</v>
      </c>
      <c r="I44" s="9" t="n">
        <f aca="false">ROUND(H44/$E$2,0)</f>
        <v>1</v>
      </c>
      <c r="J44" s="5" t="str">
        <f aca="false">A44&amp;"|"&amp;C44</f>
        <v>Sorrel|SM</v>
      </c>
    </row>
    <row r="45" customFormat="false" ht="15" hidden="false" customHeight="false" outlineLevel="0" collapsed="false">
      <c r="A45" s="18" t="s">
        <v>109</v>
      </c>
      <c r="H45" s="19" t="n">
        <f aca="false">SUM(H5:H44)</f>
        <v>13091</v>
      </c>
      <c r="I45" s="19" t="n">
        <f aca="false">ROUND(H45/$E$2,0)</f>
        <v>2618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true" outlineLevel="0" max="10" min="10" style="0" width="4"/>
  </cols>
  <sheetData>
    <row r="1" customFormat="false" ht="17.35" hidden="false" customHeight="false" outlineLevel="0" collapsed="false">
      <c r="A1" s="4" t="s">
        <v>116</v>
      </c>
    </row>
    <row r="2" customFormat="false" ht="15" hidden="false" customHeight="false" outlineLevel="0" collapsed="false">
      <c r="A2" s="5" t="s">
        <v>117</v>
      </c>
      <c r="E2" s="10" t="n">
        <v>5</v>
      </c>
    </row>
    <row r="4" customFormat="false" ht="15" hidden="false" customHeight="false" outlineLevel="0" collapsed="false">
      <c r="A4" s="11" t="s">
        <v>16</v>
      </c>
      <c r="B4" s="11" t="s">
        <v>17</v>
      </c>
      <c r="C4" s="11" t="s">
        <v>18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</row>
    <row r="5" customFormat="false" ht="15" hidden="false" customHeight="false" outlineLevel="0" collapsed="false">
      <c r="A5" s="12" t="s">
        <v>106</v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7" t="s">
        <v>25</v>
      </c>
      <c r="B6" s="7" t="s">
        <v>26</v>
      </c>
      <c r="C6" s="7" t="s">
        <v>27</v>
      </c>
      <c r="D6" s="14" t="n">
        <v>3760</v>
      </c>
      <c r="E6" s="15" t="n">
        <v>5</v>
      </c>
      <c r="F6" s="16" t="n">
        <f aca="false">ROUND(D6/$E$2,1)</f>
        <v>752</v>
      </c>
      <c r="G6" s="17" t="n">
        <f aca="false">IF(E6&gt;=2,CEILING(D6/$E$2,1),"one-off: "&amp;TEXT(D6,"#,##0")&amp;" total")</f>
        <v>752</v>
      </c>
      <c r="H6" s="9" t="n">
        <v>1316</v>
      </c>
      <c r="I6" s="9" t="n">
        <f aca="false">ROUND(H6/$E$2,0)</f>
        <v>263</v>
      </c>
      <c r="J6" s="5" t="str">
        <f aca="false">A6&amp;"|"&amp;C6</f>
        <v>Nasturtium|each</v>
      </c>
    </row>
    <row r="7" customFormat="false" ht="15" hidden="false" customHeight="false" outlineLevel="0" collapsed="false">
      <c r="A7" s="7" t="s">
        <v>47</v>
      </c>
      <c r="B7" s="7" t="s">
        <v>42</v>
      </c>
      <c r="C7" s="7" t="s">
        <v>32</v>
      </c>
      <c r="D7" s="14" t="n">
        <v>41</v>
      </c>
      <c r="E7" s="15" t="n">
        <v>5</v>
      </c>
      <c r="F7" s="16" t="n">
        <f aca="false">ROUND(D7/$E$2,1)</f>
        <v>8.2</v>
      </c>
      <c r="G7" s="17" t="n">
        <f aca="false">IF(E7&gt;=2,CEILING(D7/$E$2,1),"one-off: "&amp;TEXT(D7,"#,##0")&amp;" total")</f>
        <v>9</v>
      </c>
      <c r="H7" s="9" t="n">
        <v>780</v>
      </c>
      <c r="I7" s="9" t="n">
        <f aca="false">ROUND(H7/$E$2,0)</f>
        <v>156</v>
      </c>
      <c r="J7" s="5" t="str">
        <f aca="false">A7&amp;"|"&amp;C7</f>
        <v>Mustard Flowers|LG</v>
      </c>
    </row>
    <row r="8" customFormat="false" ht="15" hidden="false" customHeight="false" outlineLevel="0" collapsed="false">
      <c r="A8" s="7" t="s">
        <v>41</v>
      </c>
      <c r="B8" s="7" t="s">
        <v>42</v>
      </c>
      <c r="C8" s="7" t="s">
        <v>32</v>
      </c>
      <c r="D8" s="14" t="n">
        <v>26</v>
      </c>
      <c r="E8" s="15" t="n">
        <v>4</v>
      </c>
      <c r="F8" s="16" t="n">
        <f aca="false">ROUND(D8/$E$2,1)</f>
        <v>5.2</v>
      </c>
      <c r="G8" s="17" t="n">
        <f aca="false">IF(E8&gt;=2,CEILING(D8/$E$2,1),"one-off: "&amp;TEXT(D8,"#,##0")&amp;" total")</f>
        <v>6</v>
      </c>
      <c r="H8" s="9" t="n">
        <v>650</v>
      </c>
      <c r="I8" s="9" t="n">
        <f aca="false">ROUND(H8/$E$2,0)</f>
        <v>130</v>
      </c>
      <c r="J8" s="5" t="str">
        <f aca="false">A8&amp;"|"&amp;C8</f>
        <v>Radish|LG</v>
      </c>
    </row>
    <row r="9" customFormat="false" ht="15" hidden="false" customHeight="false" outlineLevel="0" collapsed="false">
      <c r="A9" s="7" t="s">
        <v>33</v>
      </c>
      <c r="B9" s="7" t="s">
        <v>29</v>
      </c>
      <c r="C9" s="7" t="s">
        <v>32</v>
      </c>
      <c r="D9" s="14" t="n">
        <v>29</v>
      </c>
      <c r="E9" s="15" t="n">
        <v>4</v>
      </c>
      <c r="F9" s="16" t="n">
        <f aca="false">ROUND(D9/$E$2,1)</f>
        <v>5.8</v>
      </c>
      <c r="G9" s="17" t="n">
        <f aca="false">IF(E9&gt;=2,CEILING(D9/$E$2,1),"one-off: "&amp;TEXT(D9,"#,##0")&amp;" total")</f>
        <v>6</v>
      </c>
      <c r="H9" s="9" t="n">
        <v>580</v>
      </c>
      <c r="I9" s="9" t="n">
        <f aca="false">ROUND(H9/$E$2,0)</f>
        <v>116</v>
      </c>
      <c r="J9" s="5" t="str">
        <f aca="false">A9&amp;"|"&amp;C9</f>
        <v>Cauliflower|LG</v>
      </c>
    </row>
    <row r="10" customFormat="false" ht="15" hidden="false" customHeight="false" outlineLevel="0" collapsed="false">
      <c r="A10" s="7" t="s">
        <v>51</v>
      </c>
      <c r="B10" s="7" t="s">
        <v>26</v>
      </c>
      <c r="C10" s="7" t="s">
        <v>32</v>
      </c>
      <c r="D10" s="14" t="n">
        <v>16</v>
      </c>
      <c r="E10" s="15" t="n">
        <v>4</v>
      </c>
      <c r="F10" s="16" t="n">
        <f aca="false">ROUND(D10/$E$2,1)</f>
        <v>3.2</v>
      </c>
      <c r="G10" s="17" t="n">
        <f aca="false">IF(E10&gt;=2,CEILING(D10/$E$2,1),"one-off: "&amp;TEXT(D10,"#,##0")&amp;" total")</f>
        <v>4</v>
      </c>
      <c r="H10" s="9" t="n">
        <v>320</v>
      </c>
      <c r="I10" s="9" t="n">
        <f aca="false">ROUND(H10/$E$2,0)</f>
        <v>64</v>
      </c>
      <c r="J10" s="5" t="str">
        <f aca="false">A10&amp;"|"&amp;C10</f>
        <v>Kale|LG</v>
      </c>
    </row>
    <row r="11" customFormat="false" ht="15" hidden="false" customHeight="false" outlineLevel="0" collapsed="false">
      <c r="A11" s="7" t="s">
        <v>71</v>
      </c>
      <c r="B11" s="7" t="s">
        <v>36</v>
      </c>
      <c r="C11" s="7" t="s">
        <v>32</v>
      </c>
      <c r="D11" s="14" t="n">
        <v>10</v>
      </c>
      <c r="E11" s="15" t="n">
        <v>4</v>
      </c>
      <c r="F11" s="16" t="n">
        <f aca="false">ROUND(D11/$E$2,1)</f>
        <v>2</v>
      </c>
      <c r="G11" s="17" t="n">
        <f aca="false">IF(E11&gt;=2,CEILING(D11/$E$2,1),"one-off: "&amp;TEXT(D11,"#,##0")&amp;" total")</f>
        <v>2</v>
      </c>
      <c r="H11" s="9" t="n">
        <v>150</v>
      </c>
      <c r="I11" s="9" t="n">
        <f aca="false">ROUND(H11/$E$2,0)</f>
        <v>30</v>
      </c>
      <c r="J11" s="5" t="str">
        <f aca="false">A11&amp;"|"&amp;C11</f>
        <v>Cress|LG</v>
      </c>
    </row>
    <row r="12" customFormat="false" ht="15" hidden="false" customHeight="false" outlineLevel="0" collapsed="false">
      <c r="A12" s="7" t="s">
        <v>58</v>
      </c>
      <c r="B12" s="7" t="s">
        <v>26</v>
      </c>
      <c r="C12" s="7" t="s">
        <v>32</v>
      </c>
      <c r="D12" s="14" t="n">
        <v>7</v>
      </c>
      <c r="E12" s="15" t="n">
        <v>4</v>
      </c>
      <c r="F12" s="16" t="n">
        <f aca="false">ROUND(D12/$E$2,1)</f>
        <v>1.4</v>
      </c>
      <c r="G12" s="17" t="n">
        <f aca="false">IF(E12&gt;=2,CEILING(D12/$E$2,1),"one-off: "&amp;TEXT(D12,"#,##0")&amp;" total")</f>
        <v>2</v>
      </c>
      <c r="H12" s="9" t="n">
        <v>80</v>
      </c>
      <c r="I12" s="9" t="n">
        <f aca="false">ROUND(H12/$E$2,0)</f>
        <v>16</v>
      </c>
      <c r="J12" s="5" t="str">
        <f aca="false">A12&amp;"|"&amp;C12</f>
        <v>Mint|LG</v>
      </c>
    </row>
    <row r="13" customFormat="false" ht="15" hidden="false" customHeight="false" outlineLevel="0" collapsed="false">
      <c r="A13" s="7" t="s">
        <v>83</v>
      </c>
      <c r="B13" s="7" t="s">
        <v>42</v>
      </c>
      <c r="C13" s="7" t="s">
        <v>45</v>
      </c>
      <c r="D13" s="14" t="n">
        <v>11</v>
      </c>
      <c r="E13" s="15" t="n">
        <v>4</v>
      </c>
      <c r="F13" s="16" t="n">
        <f aca="false">ROUND(D13/$E$2,1)</f>
        <v>2.2</v>
      </c>
      <c r="G13" s="17" t="n">
        <f aca="false">IF(E13&gt;=2,CEILING(D13/$E$2,1),"one-off: "&amp;TEXT(D13,"#,##0")&amp;" total")</f>
        <v>3</v>
      </c>
      <c r="H13" s="9" t="n">
        <v>66</v>
      </c>
      <c r="I13" s="9" t="n">
        <f aca="false">ROUND(H13/$E$2,0)</f>
        <v>13</v>
      </c>
      <c r="J13" s="5" t="str">
        <f aca="false">A13&amp;"|"&amp;C13</f>
        <v>Oxalis Flowers|SM</v>
      </c>
    </row>
    <row r="14" customFormat="false" ht="15" hidden="false" customHeight="false" outlineLevel="0" collapsed="false">
      <c r="A14" s="12" t="s">
        <v>107</v>
      </c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7" t="s">
        <v>54</v>
      </c>
      <c r="B15" s="7" t="s">
        <v>26</v>
      </c>
      <c r="C15" s="7" t="s">
        <v>32</v>
      </c>
      <c r="D15" s="14" t="n">
        <v>14</v>
      </c>
      <c r="E15" s="15" t="n">
        <v>3</v>
      </c>
      <c r="F15" s="16" t="n">
        <f aca="false">ROUND(D15/$E$2,1)</f>
        <v>2.8</v>
      </c>
      <c r="G15" s="17" t="n">
        <f aca="false">IF(E15&gt;=2,CEILING(D15/$E$2,1),"one-off: "&amp;TEXT(D15,"#,##0")&amp;" total")</f>
        <v>3</v>
      </c>
      <c r="H15" s="9" t="n">
        <v>210</v>
      </c>
      <c r="I15" s="9" t="n">
        <f aca="false">ROUND(H15/$E$2,0)</f>
        <v>42</v>
      </c>
      <c r="J15" s="5" t="str">
        <f aca="false">A15&amp;"|"&amp;C15</f>
        <v>Aptenia|LG</v>
      </c>
    </row>
    <row r="16" customFormat="false" ht="15" hidden="false" customHeight="false" outlineLevel="0" collapsed="false">
      <c r="A16" s="7" t="s">
        <v>56</v>
      </c>
      <c r="B16" s="7" t="s">
        <v>42</v>
      </c>
      <c r="C16" s="7" t="s">
        <v>45</v>
      </c>
      <c r="D16" s="14" t="n">
        <v>33</v>
      </c>
      <c r="E16" s="15" t="n">
        <v>3</v>
      </c>
      <c r="F16" s="16" t="n">
        <f aca="false">ROUND(D16/$E$2,1)</f>
        <v>6.6</v>
      </c>
      <c r="G16" s="17" t="n">
        <f aca="false">IF(E16&gt;=2,CEILING(D16/$E$2,1),"one-off: "&amp;TEXT(D16,"#,##0")&amp;" total")</f>
        <v>7</v>
      </c>
      <c r="H16" s="9" t="n">
        <v>198</v>
      </c>
      <c r="I16" s="9" t="n">
        <f aca="false">ROUND(H16/$E$2,0)</f>
        <v>40</v>
      </c>
      <c r="J16" s="5" t="str">
        <f aca="false">A16&amp;"|"&amp;C16</f>
        <v>Alyssum|SM</v>
      </c>
    </row>
    <row r="17" customFormat="false" ht="15" hidden="false" customHeight="false" outlineLevel="0" collapsed="false">
      <c r="A17" s="7" t="s">
        <v>50</v>
      </c>
      <c r="B17" s="7" t="s">
        <v>29</v>
      </c>
      <c r="C17" s="7" t="s">
        <v>32</v>
      </c>
      <c r="D17" s="14" t="n">
        <v>12</v>
      </c>
      <c r="E17" s="15" t="n">
        <v>2</v>
      </c>
      <c r="F17" s="16" t="n">
        <f aca="false">ROUND(D17/$E$2,1)</f>
        <v>2.4</v>
      </c>
      <c r="G17" s="17" t="n">
        <f aca="false">IF(E17&gt;=2,CEILING(D17/$E$2,1),"one-off: "&amp;TEXT(D17,"#,##0")&amp;" total")</f>
        <v>3</v>
      </c>
      <c r="H17" s="9" t="n">
        <v>144</v>
      </c>
      <c r="I17" s="9" t="n">
        <f aca="false">ROUND(H17/$E$2,0)</f>
        <v>29</v>
      </c>
      <c r="J17" s="5" t="str">
        <f aca="false">A17&amp;"|"&amp;C17</f>
        <v>Passionfruit|LG</v>
      </c>
    </row>
    <row r="18" customFormat="false" ht="15" hidden="false" customHeight="false" outlineLevel="0" collapsed="false">
      <c r="A18" s="7" t="s">
        <v>80</v>
      </c>
      <c r="B18" s="7" t="s">
        <v>26</v>
      </c>
      <c r="C18" s="7" t="s">
        <v>32</v>
      </c>
      <c r="D18" s="14" t="n">
        <v>5</v>
      </c>
      <c r="E18" s="15" t="n">
        <v>3</v>
      </c>
      <c r="F18" s="16" t="n">
        <f aca="false">ROUND(D18/$E$2,1)</f>
        <v>1</v>
      </c>
      <c r="G18" s="17" t="n">
        <f aca="false">IF(E18&gt;=2,CEILING(D18/$E$2,1),"one-off: "&amp;TEXT(D18,"#,##0")&amp;" total")</f>
        <v>1</v>
      </c>
      <c r="H18" s="9" t="n">
        <v>90</v>
      </c>
      <c r="I18" s="9" t="n">
        <f aca="false">ROUND(H18/$E$2,0)</f>
        <v>18</v>
      </c>
      <c r="J18" s="5" t="str">
        <f aca="false">A18&amp;"|"&amp;C18</f>
        <v>Chrysanthemum|LG</v>
      </c>
    </row>
    <row r="19" customFormat="false" ht="15" hidden="false" customHeight="false" outlineLevel="0" collapsed="false">
      <c r="A19" s="7" t="s">
        <v>49</v>
      </c>
      <c r="B19" s="7" t="s">
        <v>42</v>
      </c>
      <c r="C19" s="7" t="s">
        <v>45</v>
      </c>
      <c r="D19" s="14" t="n">
        <v>7</v>
      </c>
      <c r="E19" s="15" t="n">
        <v>3</v>
      </c>
      <c r="F19" s="16" t="n">
        <f aca="false">ROUND(D19/$E$2,1)</f>
        <v>1.4</v>
      </c>
      <c r="G19" s="17" t="n">
        <f aca="false">IF(E19&gt;=2,CEILING(D19/$E$2,1),"one-off: "&amp;TEXT(D19,"#,##0")&amp;" total")</f>
        <v>2</v>
      </c>
      <c r="H19" s="9" t="n">
        <v>84</v>
      </c>
      <c r="I19" s="9" t="n">
        <f aca="false">ROUND(H19/$E$2,0)</f>
        <v>17</v>
      </c>
      <c r="J19" s="5" t="str">
        <f aca="false">A19&amp;"|"&amp;C19</f>
        <v>Forget-Me-Nots|SM</v>
      </c>
    </row>
    <row r="20" customFormat="false" ht="15" hidden="false" customHeight="false" outlineLevel="0" collapsed="false">
      <c r="A20" s="7" t="s">
        <v>74</v>
      </c>
      <c r="B20" s="7" t="s">
        <v>29</v>
      </c>
      <c r="C20" s="7" t="s">
        <v>32</v>
      </c>
      <c r="D20" s="14" t="n">
        <v>4</v>
      </c>
      <c r="E20" s="15" t="n">
        <v>3</v>
      </c>
      <c r="F20" s="16" t="n">
        <f aca="false">ROUND(D20/$E$2,1)</f>
        <v>0.8</v>
      </c>
      <c r="G20" s="17" t="n">
        <f aca="false">IF(E20&gt;=2,CEILING(D20/$E$2,1),"one-off: "&amp;TEXT(D20,"#,##0")&amp;" total")</f>
        <v>1</v>
      </c>
      <c r="H20" s="9" t="n">
        <v>65</v>
      </c>
      <c r="I20" s="9" t="n">
        <f aca="false">ROUND(H20/$E$2,0)</f>
        <v>13</v>
      </c>
      <c r="J20" s="5" t="str">
        <f aca="false">A20&amp;"|"&amp;C20</f>
        <v>Broccoli|LG</v>
      </c>
    </row>
    <row r="21" customFormat="false" ht="15" hidden="false" customHeight="false" outlineLevel="0" collapsed="false">
      <c r="A21" s="7" t="s">
        <v>53</v>
      </c>
      <c r="B21" s="7" t="s">
        <v>29</v>
      </c>
      <c r="C21" s="7" t="s">
        <v>32</v>
      </c>
      <c r="D21" s="14" t="n">
        <v>4</v>
      </c>
      <c r="E21" s="15" t="n">
        <v>2</v>
      </c>
      <c r="F21" s="16" t="n">
        <f aca="false">ROUND(D21/$E$2,1)</f>
        <v>0.8</v>
      </c>
      <c r="G21" s="17" t="n">
        <f aca="false">IF(E21&gt;=2,CEILING(D21/$E$2,1),"one-off: "&amp;TEXT(D21,"#,##0")&amp;" total")</f>
        <v>1</v>
      </c>
      <c r="H21" s="9" t="n">
        <v>48</v>
      </c>
      <c r="I21" s="9" t="n">
        <f aca="false">ROUND(H21/$E$2,0)</f>
        <v>10</v>
      </c>
      <c r="J21" s="5" t="str">
        <f aca="false">A21&amp;"|"&amp;C21</f>
        <v>Beans|LG</v>
      </c>
    </row>
    <row r="22" customFormat="false" ht="15" hidden="false" customHeight="false" outlineLevel="0" collapsed="false">
      <c r="A22" s="7" t="s">
        <v>41</v>
      </c>
      <c r="B22" s="7" t="s">
        <v>42</v>
      </c>
      <c r="C22" s="7" t="s">
        <v>45</v>
      </c>
      <c r="D22" s="14" t="n">
        <v>4</v>
      </c>
      <c r="E22" s="15" t="n">
        <v>2</v>
      </c>
      <c r="F22" s="16" t="n">
        <f aca="false">ROUND(D22/$E$2,1)</f>
        <v>0.8</v>
      </c>
      <c r="G22" s="17" t="n">
        <f aca="false">IF(E22&gt;=2,CEILING(D22/$E$2,1),"one-off: "&amp;TEXT(D22,"#,##0")&amp;" total")</f>
        <v>1</v>
      </c>
      <c r="H22" s="9" t="n">
        <v>40</v>
      </c>
      <c r="I22" s="9" t="n">
        <f aca="false">ROUND(H22/$E$2,0)</f>
        <v>8</v>
      </c>
      <c r="J22" s="5" t="str">
        <f aca="false">A22&amp;"|"&amp;C22</f>
        <v>Radish|SM</v>
      </c>
    </row>
    <row r="23" customFormat="false" ht="15" hidden="false" customHeight="false" outlineLevel="0" collapsed="false">
      <c r="A23" s="7" t="s">
        <v>79</v>
      </c>
      <c r="B23" s="7" t="s">
        <v>26</v>
      </c>
      <c r="C23" s="7" t="s">
        <v>32</v>
      </c>
      <c r="D23" s="14" t="n">
        <v>2</v>
      </c>
      <c r="E23" s="15" t="n">
        <v>2</v>
      </c>
      <c r="F23" s="16" t="n">
        <f aca="false">ROUND(D23/$E$2,1)</f>
        <v>0.4</v>
      </c>
      <c r="G23" s="17" t="n">
        <f aca="false">IF(E23&gt;=2,CEILING(D23/$E$2,1),"one-off: "&amp;TEXT(D23,"#,##0")&amp;" total")</f>
        <v>1</v>
      </c>
      <c r="H23" s="9" t="n">
        <v>40</v>
      </c>
      <c r="I23" s="9" t="n">
        <f aca="false">ROUND(H23/$E$2,0)</f>
        <v>8</v>
      </c>
      <c r="J23" s="5" t="str">
        <f aca="false">A23&amp;"|"&amp;C23</f>
        <v>Bay Leaf|LG</v>
      </c>
    </row>
    <row r="24" customFormat="false" ht="15" hidden="false" customHeight="false" outlineLevel="0" collapsed="false">
      <c r="A24" s="7" t="s">
        <v>37</v>
      </c>
      <c r="B24" s="7" t="s">
        <v>29</v>
      </c>
      <c r="C24" s="7" t="s">
        <v>32</v>
      </c>
      <c r="D24" s="14" t="n">
        <v>3</v>
      </c>
      <c r="E24" s="15" t="n">
        <v>3</v>
      </c>
      <c r="F24" s="16" t="n">
        <f aca="false">ROUND(D24/$E$2,1)</f>
        <v>0.6</v>
      </c>
      <c r="G24" s="17" t="n">
        <f aca="false">IF(E24&gt;=2,CEILING(D24/$E$2,1),"one-off: "&amp;TEXT(D24,"#,##0")&amp;" total")</f>
        <v>1</v>
      </c>
      <c r="H24" s="9" t="n">
        <v>36</v>
      </c>
      <c r="I24" s="9" t="n">
        <f aca="false">ROUND(H24/$E$2,0)</f>
        <v>7</v>
      </c>
      <c r="J24" s="5" t="str">
        <f aca="false">A24&amp;"|"&amp;C24</f>
        <v>Carrots|LG</v>
      </c>
    </row>
    <row r="25" customFormat="false" ht="15" hidden="false" customHeight="false" outlineLevel="0" collapsed="false">
      <c r="A25" s="7" t="s">
        <v>72</v>
      </c>
      <c r="B25" s="7" t="s">
        <v>26</v>
      </c>
      <c r="C25" s="7" t="s">
        <v>27</v>
      </c>
      <c r="D25" s="14" t="n">
        <v>100</v>
      </c>
      <c r="E25" s="15" t="n">
        <v>2</v>
      </c>
      <c r="F25" s="16" t="n">
        <f aca="false">ROUND(D25/$E$2,1)</f>
        <v>20</v>
      </c>
      <c r="G25" s="17" t="n">
        <f aca="false">IF(E25&gt;=2,CEILING(D25/$E$2,1),"one-off: "&amp;TEXT(D25,"#,##0")&amp;" total")</f>
        <v>20</v>
      </c>
      <c r="H25" s="9" t="n">
        <v>20</v>
      </c>
      <c r="I25" s="9" t="n">
        <f aca="false">ROUND(H25/$E$2,0)</f>
        <v>4</v>
      </c>
      <c r="J25" s="5" t="str">
        <f aca="false">A25&amp;"|"&amp;C25</f>
        <v>Rosemary|each</v>
      </c>
    </row>
    <row r="26" customFormat="false" ht="15" hidden="false" customHeight="false" outlineLevel="0" collapsed="false">
      <c r="A26" s="12" t="s">
        <v>108</v>
      </c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7" t="s">
        <v>37</v>
      </c>
      <c r="B27" s="7" t="s">
        <v>29</v>
      </c>
      <c r="C27" s="7" t="s">
        <v>27</v>
      </c>
      <c r="D27" s="14" t="n">
        <v>365</v>
      </c>
      <c r="E27" s="15" t="n">
        <v>1</v>
      </c>
      <c r="F27" s="16" t="n">
        <f aca="false">ROUND(D27/$E$2,1)</f>
        <v>73</v>
      </c>
      <c r="G27" s="17" t="str">
        <f aca="false">IF(E27&gt;=2,CEILING(D27/$E$2,1),"one-off: "&amp;TEXT(D27,"#,##0")&amp;" total")</f>
        <v>one-off: 365 total</v>
      </c>
      <c r="H27" s="9" t="n">
        <v>1278</v>
      </c>
      <c r="I27" s="9" t="n">
        <f aca="false">ROUND(H27/$E$2,0)</f>
        <v>256</v>
      </c>
      <c r="J27" s="5" t="str">
        <f aca="false">A27&amp;"|"&amp;C27</f>
        <v>Carrots|each</v>
      </c>
    </row>
    <row r="28" customFormat="false" ht="15" hidden="false" customHeight="false" outlineLevel="0" collapsed="false">
      <c r="A28" s="7" t="s">
        <v>84</v>
      </c>
      <c r="B28" s="7" t="s">
        <v>42</v>
      </c>
      <c r="C28" s="7" t="s">
        <v>32</v>
      </c>
      <c r="D28" s="14" t="n">
        <v>5</v>
      </c>
      <c r="E28" s="15" t="n">
        <v>1</v>
      </c>
      <c r="F28" s="16" t="n">
        <f aca="false">ROUND(D28/$E$2,1)</f>
        <v>1</v>
      </c>
      <c r="G28" s="17" t="str">
        <f aca="false">IF(E28&gt;=2,CEILING(D28/$E$2,1),"one-off: "&amp;TEXT(D28,"#,##0")&amp;" total")</f>
        <v>one-off: 5 total</v>
      </c>
      <c r="H28" s="9" t="n">
        <v>75</v>
      </c>
      <c r="I28" s="9" t="n">
        <f aca="false">ROUND(H28/$E$2,0)</f>
        <v>15</v>
      </c>
      <c r="J28" s="5" t="str">
        <f aca="false">A28&amp;"|"&amp;C28</f>
        <v>Dianthus|LG</v>
      </c>
    </row>
    <row r="29" customFormat="false" ht="15" hidden="false" customHeight="false" outlineLevel="0" collapsed="false">
      <c r="A29" s="7" t="s">
        <v>58</v>
      </c>
      <c r="B29" s="7" t="s">
        <v>26</v>
      </c>
      <c r="C29" s="7" t="s">
        <v>45</v>
      </c>
      <c r="D29" s="14" t="n">
        <v>6</v>
      </c>
      <c r="E29" s="15" t="n">
        <v>1</v>
      </c>
      <c r="F29" s="16" t="n">
        <f aca="false">ROUND(D29/$E$2,1)</f>
        <v>1.2</v>
      </c>
      <c r="G29" s="17" t="str">
        <f aca="false">IF(E29&gt;=2,CEILING(D29/$E$2,1),"one-off: "&amp;TEXT(D29,"#,##0")&amp;" total")</f>
        <v>one-off: 6 total</v>
      </c>
      <c r="H29" s="9" t="n">
        <v>60</v>
      </c>
      <c r="I29" s="9" t="n">
        <f aca="false">ROUND(H29/$E$2,0)</f>
        <v>12</v>
      </c>
      <c r="J29" s="5" t="str">
        <f aca="false">A29&amp;"|"&amp;C29</f>
        <v>Mint|SM</v>
      </c>
    </row>
    <row r="30" customFormat="false" ht="15" hidden="false" customHeight="false" outlineLevel="0" collapsed="false">
      <c r="A30" s="7" t="s">
        <v>63</v>
      </c>
      <c r="B30" s="7" t="s">
        <v>36</v>
      </c>
      <c r="C30" s="7" t="s">
        <v>32</v>
      </c>
      <c r="D30" s="14" t="n">
        <v>3</v>
      </c>
      <c r="E30" s="15" t="n">
        <v>1</v>
      </c>
      <c r="F30" s="16" t="n">
        <f aca="false">ROUND(D30/$E$2,1)</f>
        <v>0.6</v>
      </c>
      <c r="G30" s="17" t="str">
        <f aca="false">IF(E30&gt;=2,CEILING(D30/$E$2,1),"one-off: "&amp;TEXT(D30,"#,##0")&amp;" total")</f>
        <v>one-off: 3 total</v>
      </c>
      <c r="H30" s="9" t="n">
        <v>35</v>
      </c>
      <c r="I30" s="9" t="n">
        <f aca="false">ROUND(H30/$E$2,0)</f>
        <v>7</v>
      </c>
      <c r="J30" s="5" t="str">
        <f aca="false">A30&amp;"|"&amp;C30</f>
        <v>Fennel|LG</v>
      </c>
    </row>
    <row r="31" customFormat="false" ht="15" hidden="false" customHeight="false" outlineLevel="0" collapsed="false">
      <c r="A31" s="7" t="s">
        <v>60</v>
      </c>
      <c r="B31" s="7" t="s">
        <v>26</v>
      </c>
      <c r="C31" s="7" t="s">
        <v>40</v>
      </c>
      <c r="D31" s="14" t="n">
        <v>1</v>
      </c>
      <c r="E31" s="15" t="n">
        <v>1</v>
      </c>
      <c r="F31" s="16" t="n">
        <f aca="false">ROUND(D31/$E$2,1)</f>
        <v>0.2</v>
      </c>
      <c r="G31" s="17" t="str">
        <f aca="false">IF(E31&gt;=2,CEILING(D31/$E$2,1),"one-off: "&amp;TEXT(D31,"#,##0")&amp;" total")</f>
        <v>one-off: 1 total</v>
      </c>
      <c r="H31" s="9" t="n">
        <v>20</v>
      </c>
      <c r="I31" s="9" t="n">
        <f aca="false">ROUND(H31/$E$2,0)</f>
        <v>4</v>
      </c>
      <c r="J31" s="5" t="str">
        <f aca="false">A31&amp;"|"&amp;C31</f>
        <v>Evergreen Branches|box</v>
      </c>
    </row>
    <row r="32" customFormat="false" ht="15" hidden="false" customHeight="false" outlineLevel="0" collapsed="false">
      <c r="A32" s="7" t="s">
        <v>44</v>
      </c>
      <c r="B32" s="7" t="s">
        <v>42</v>
      </c>
      <c r="C32" s="7" t="s">
        <v>45</v>
      </c>
      <c r="D32" s="14" t="n">
        <v>1</v>
      </c>
      <c r="E32" s="15" t="n">
        <v>1</v>
      </c>
      <c r="F32" s="16" t="n">
        <f aca="false">ROUND(D32/$E$2,1)</f>
        <v>0.2</v>
      </c>
      <c r="G32" s="17" t="str">
        <f aca="false">IF(E32&gt;=2,CEILING(D32/$E$2,1),"one-off: "&amp;TEXT(D32,"#,##0")&amp;" total")</f>
        <v>one-off: 1 total</v>
      </c>
      <c r="H32" s="9" t="n">
        <v>15</v>
      </c>
      <c r="I32" s="9" t="n">
        <f aca="false">ROUND(H32/$E$2,0)</f>
        <v>3</v>
      </c>
      <c r="J32" s="5" t="str">
        <f aca="false">A32&amp;"|"&amp;C32</f>
        <v>Marigold|SM</v>
      </c>
    </row>
    <row r="33" customFormat="false" ht="15" hidden="false" customHeight="false" outlineLevel="0" collapsed="false">
      <c r="A33" s="7" t="s">
        <v>92</v>
      </c>
      <c r="B33" s="7" t="s">
        <v>26</v>
      </c>
      <c r="C33" s="7" t="s">
        <v>32</v>
      </c>
      <c r="D33" s="14" t="n">
        <v>1</v>
      </c>
      <c r="E33" s="15" t="n">
        <v>1</v>
      </c>
      <c r="F33" s="16" t="n">
        <f aca="false">ROUND(D33/$E$2,1)</f>
        <v>0.2</v>
      </c>
      <c r="G33" s="17" t="str">
        <f aca="false">IF(E33&gt;=2,CEILING(D33/$E$2,1),"one-off: "&amp;TEXT(D33,"#,##0")&amp;" total")</f>
        <v>one-off: 1 total</v>
      </c>
      <c r="H33" s="9" t="n">
        <v>12</v>
      </c>
      <c r="I33" s="9" t="n">
        <f aca="false">ROUND(H33/$E$2,0)</f>
        <v>2</v>
      </c>
      <c r="J33" s="5" t="str">
        <f aca="false">A33&amp;"|"&amp;C33</f>
        <v>Chickweed|LG</v>
      </c>
    </row>
    <row r="34" customFormat="false" ht="15" hidden="false" customHeight="false" outlineLevel="0" collapsed="false">
      <c r="A34" s="18" t="s">
        <v>109</v>
      </c>
      <c r="H34" s="19" t="n">
        <f aca="false">SUM(H5:H33)</f>
        <v>6412</v>
      </c>
      <c r="I34" s="19" t="n">
        <f aca="false">ROUND(H34/$E$2,0)</f>
        <v>1282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2026-08-09T19:22:14Z</dcterms:created>
  <dc:creator>openpyxl</dc:creator>
  <dc:description/>
  <dc:language>en-US</dc:language>
  <cp:lastModifiedBy/>
  <dcterms:modified xsi:type="dcterms:W3CDTF">2026-08-09T19:22:15Z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